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8a6705fd43a1bc/Documents/"/>
    </mc:Choice>
  </mc:AlternateContent>
  <xr:revisionPtr revIDLastSave="602" documentId="8_{DC829307-8EBD-443A-9CBB-2702C84DA358}" xr6:coauthVersionLast="47" xr6:coauthVersionMax="47" xr10:uidLastSave="{4A7FC1DD-6A90-42E4-AE38-C9374F28C727}"/>
  <bookViews>
    <workbookView xWindow="9024" yWindow="852" windowWidth="13800" windowHeight="10536" xr2:uid="{D47EF914-023E-49E4-B443-1D2C08A34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8" i="1" l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A35" i="1"/>
  <c r="AA36" i="1"/>
  <c r="AA37" i="1"/>
  <c r="AA38" i="1"/>
  <c r="AA39" i="1"/>
  <c r="AA40" i="1"/>
  <c r="AA41" i="1"/>
  <c r="AA42" i="1"/>
  <c r="AA43" i="1"/>
  <c r="AA44" i="1"/>
  <c r="AA45" i="1"/>
  <c r="AA33" i="1"/>
  <c r="AA34" i="1"/>
  <c r="AB32" i="1"/>
  <c r="AB47" i="1" s="1"/>
  <c r="AA32" i="1"/>
  <c r="AA47" i="1" s="1"/>
  <c r="AA49" i="1" s="1"/>
  <c r="W35" i="1"/>
  <c r="J74" i="1"/>
  <c r="J75" i="1" s="1"/>
  <c r="K76" i="1"/>
  <c r="K77" i="1" s="1"/>
  <c r="E195" i="1"/>
  <c r="E194" i="1"/>
  <c r="E193" i="1"/>
  <c r="E192" i="1"/>
  <c r="E191" i="1"/>
  <c r="E190" i="1"/>
  <c r="E189" i="1"/>
  <c r="E188" i="1"/>
  <c r="E187" i="1"/>
  <c r="E186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39" i="1"/>
  <c r="E40" i="1"/>
  <c r="E41" i="1"/>
  <c r="E42" i="1"/>
  <c r="E43" i="1"/>
  <c r="E38" i="1"/>
  <c r="E37" i="1"/>
  <c r="E36" i="1"/>
  <c r="E35" i="1"/>
  <c r="E34" i="1"/>
  <c r="E33" i="1"/>
  <c r="E32" i="1"/>
  <c r="E31" i="1"/>
  <c r="E30" i="1"/>
  <c r="E29" i="1"/>
  <c r="E28" i="1"/>
  <c r="E27" i="1"/>
  <c r="D195" i="1"/>
  <c r="D194" i="1"/>
  <c r="D193" i="1"/>
  <c r="D192" i="1"/>
  <c r="D191" i="1"/>
  <c r="D190" i="1"/>
  <c r="D189" i="1"/>
  <c r="D188" i="1"/>
  <c r="D187" i="1"/>
  <c r="D186" i="1"/>
  <c r="D185" i="1"/>
  <c r="D36" i="1"/>
  <c r="D27" i="1"/>
  <c r="D28" i="1"/>
  <c r="D29" i="1"/>
  <c r="D30" i="1"/>
  <c r="D31" i="1"/>
  <c r="D32" i="1"/>
  <c r="D33" i="1"/>
  <c r="D34" i="1"/>
  <c r="D35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40" i="1"/>
  <c r="D39" i="1"/>
  <c r="D38" i="1"/>
  <c r="D37" i="1"/>
  <c r="N36" i="1" l="1"/>
  <c r="K78" i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J90" i="1"/>
  <c r="K90" i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G195" i="1"/>
  <c r="I195" i="1" s="1"/>
  <c r="F195" i="1"/>
  <c r="H195" i="1" s="1"/>
  <c r="F194" i="1"/>
  <c r="H194" i="1" s="1"/>
  <c r="G194" i="1"/>
  <c r="I194" i="1" s="1"/>
  <c r="F193" i="1"/>
  <c r="H193" i="1" s="1"/>
  <c r="G193" i="1"/>
  <c r="I193" i="1" s="1"/>
  <c r="G192" i="1"/>
  <c r="I192" i="1" s="1"/>
  <c r="F192" i="1"/>
  <c r="H192" i="1" s="1"/>
  <c r="F191" i="1"/>
  <c r="H191" i="1" s="1"/>
  <c r="G191" i="1"/>
  <c r="I191" i="1" s="1"/>
  <c r="G190" i="1"/>
  <c r="I190" i="1" s="1"/>
  <c r="F190" i="1"/>
  <c r="H190" i="1" s="1"/>
  <c r="G189" i="1"/>
  <c r="I189" i="1" s="1"/>
  <c r="F189" i="1"/>
  <c r="H189" i="1" s="1"/>
  <c r="F188" i="1"/>
  <c r="H188" i="1" s="1"/>
  <c r="G188" i="1"/>
  <c r="I188" i="1" s="1"/>
  <c r="G187" i="1"/>
  <c r="I187" i="1" s="1"/>
  <c r="F187" i="1"/>
  <c r="H187" i="1" s="1"/>
  <c r="G186" i="1"/>
  <c r="I186" i="1" s="1"/>
  <c r="F186" i="1"/>
  <c r="H186" i="1" s="1"/>
  <c r="F185" i="1"/>
  <c r="H185" i="1" s="1"/>
  <c r="G185" i="1"/>
  <c r="I185" i="1" s="1"/>
  <c r="F36" i="1"/>
  <c r="H36" i="1" s="1"/>
  <c r="G36" i="1"/>
  <c r="I36" i="1" s="1"/>
  <c r="F27" i="1"/>
  <c r="H27" i="1" s="1"/>
  <c r="G27" i="1"/>
  <c r="I27" i="1" s="1"/>
  <c r="G28" i="1"/>
  <c r="I28" i="1" s="1"/>
  <c r="F28" i="1"/>
  <c r="H28" i="1" s="1"/>
  <c r="F29" i="1"/>
  <c r="H29" i="1" s="1"/>
  <c r="G29" i="1"/>
  <c r="I29" i="1" s="1"/>
  <c r="G30" i="1"/>
  <c r="I30" i="1" s="1"/>
  <c r="F30" i="1"/>
  <c r="H30" i="1" s="1"/>
  <c r="G31" i="1"/>
  <c r="I31" i="1" s="1"/>
  <c r="F31" i="1"/>
  <c r="H31" i="1" s="1"/>
  <c r="G32" i="1"/>
  <c r="I32" i="1" s="1"/>
  <c r="F32" i="1"/>
  <c r="H32" i="1" s="1"/>
  <c r="G33" i="1"/>
  <c r="I33" i="1" s="1"/>
  <c r="F33" i="1"/>
  <c r="H33" i="1" s="1"/>
  <c r="G34" i="1"/>
  <c r="I34" i="1" s="1"/>
  <c r="F34" i="1"/>
  <c r="H34" i="1" s="1"/>
  <c r="F35" i="1"/>
  <c r="H35" i="1" s="1"/>
  <c r="G35" i="1"/>
  <c r="I35" i="1" s="1"/>
  <c r="F41" i="1"/>
  <c r="H41" i="1" s="1"/>
  <c r="G41" i="1"/>
  <c r="I41" i="1" s="1"/>
  <c r="F42" i="1"/>
  <c r="H42" i="1" s="1"/>
  <c r="G42" i="1"/>
  <c r="I42" i="1" s="1"/>
  <c r="F43" i="1"/>
  <c r="H43" i="1" s="1"/>
  <c r="G43" i="1"/>
  <c r="I43" i="1" s="1"/>
  <c r="F44" i="1"/>
  <c r="H44" i="1" s="1"/>
  <c r="G44" i="1"/>
  <c r="I44" i="1" s="1"/>
  <c r="G45" i="1"/>
  <c r="I45" i="1" s="1"/>
  <c r="F45" i="1"/>
  <c r="H45" i="1" s="1"/>
  <c r="F46" i="1"/>
  <c r="H46" i="1" s="1"/>
  <c r="G46" i="1"/>
  <c r="I46" i="1" s="1"/>
  <c r="F47" i="1"/>
  <c r="H47" i="1" s="1"/>
  <c r="G47" i="1"/>
  <c r="I47" i="1" s="1"/>
  <c r="G48" i="1"/>
  <c r="I48" i="1" s="1"/>
  <c r="F48" i="1"/>
  <c r="H48" i="1" s="1"/>
  <c r="F49" i="1"/>
  <c r="H49" i="1" s="1"/>
  <c r="G49" i="1"/>
  <c r="I49" i="1" s="1"/>
  <c r="G50" i="1"/>
  <c r="I50" i="1" s="1"/>
  <c r="F50" i="1"/>
  <c r="H50" i="1" s="1"/>
  <c r="F51" i="1"/>
  <c r="H51" i="1" s="1"/>
  <c r="G51" i="1"/>
  <c r="I51" i="1" s="1"/>
  <c r="G52" i="1"/>
  <c r="I52" i="1" s="1"/>
  <c r="F52" i="1"/>
  <c r="H52" i="1" s="1"/>
  <c r="F53" i="1"/>
  <c r="H53" i="1" s="1"/>
  <c r="G53" i="1"/>
  <c r="I53" i="1" s="1"/>
  <c r="F54" i="1"/>
  <c r="H54" i="1" s="1"/>
  <c r="G54" i="1"/>
  <c r="I54" i="1" s="1"/>
  <c r="G55" i="1"/>
  <c r="I55" i="1" s="1"/>
  <c r="F55" i="1"/>
  <c r="H55" i="1" s="1"/>
  <c r="F56" i="1"/>
  <c r="H56" i="1" s="1"/>
  <c r="G56" i="1"/>
  <c r="I56" i="1" s="1"/>
  <c r="F57" i="1"/>
  <c r="H57" i="1" s="1"/>
  <c r="G57" i="1"/>
  <c r="I57" i="1" s="1"/>
  <c r="G58" i="1"/>
  <c r="I58" i="1" s="1"/>
  <c r="F58" i="1"/>
  <c r="H58" i="1" s="1"/>
  <c r="G59" i="1"/>
  <c r="I59" i="1" s="1"/>
  <c r="F59" i="1"/>
  <c r="H59" i="1" s="1"/>
  <c r="F60" i="1"/>
  <c r="H60" i="1" s="1"/>
  <c r="G60" i="1"/>
  <c r="I60" i="1" s="1"/>
  <c r="F61" i="1"/>
  <c r="H61" i="1" s="1"/>
  <c r="G61" i="1"/>
  <c r="I61" i="1" s="1"/>
  <c r="F62" i="1"/>
  <c r="H62" i="1" s="1"/>
  <c r="G62" i="1"/>
  <c r="I62" i="1" s="1"/>
  <c r="G63" i="1"/>
  <c r="I63" i="1" s="1"/>
  <c r="F63" i="1"/>
  <c r="H63" i="1" s="1"/>
  <c r="G64" i="1"/>
  <c r="I64" i="1" s="1"/>
  <c r="F64" i="1"/>
  <c r="H64" i="1" s="1"/>
  <c r="G65" i="1"/>
  <c r="I65" i="1" s="1"/>
  <c r="F65" i="1"/>
  <c r="H65" i="1" s="1"/>
  <c r="F66" i="1"/>
  <c r="H66" i="1" s="1"/>
  <c r="G66" i="1"/>
  <c r="I66" i="1" s="1"/>
  <c r="F67" i="1"/>
  <c r="H67" i="1" s="1"/>
  <c r="G67" i="1"/>
  <c r="I67" i="1" s="1"/>
  <c r="F68" i="1"/>
  <c r="H68" i="1" s="1"/>
  <c r="G68" i="1"/>
  <c r="I68" i="1" s="1"/>
  <c r="F69" i="1"/>
  <c r="H69" i="1" s="1"/>
  <c r="G69" i="1"/>
  <c r="I69" i="1" s="1"/>
  <c r="F70" i="1"/>
  <c r="H70" i="1" s="1"/>
  <c r="G70" i="1"/>
  <c r="I70" i="1" s="1"/>
  <c r="F71" i="1"/>
  <c r="H71" i="1" s="1"/>
  <c r="G71" i="1"/>
  <c r="I71" i="1" s="1"/>
  <c r="F72" i="1"/>
  <c r="H72" i="1" s="1"/>
  <c r="G72" i="1"/>
  <c r="I72" i="1" s="1"/>
  <c r="F73" i="1"/>
  <c r="H73" i="1" s="1"/>
  <c r="G73" i="1"/>
  <c r="I73" i="1" s="1"/>
  <c r="G74" i="1"/>
  <c r="I74" i="1" s="1"/>
  <c r="F74" i="1"/>
  <c r="H74" i="1" s="1"/>
  <c r="F75" i="1"/>
  <c r="H75" i="1" s="1"/>
  <c r="G75" i="1"/>
  <c r="I75" i="1" s="1"/>
  <c r="G76" i="1"/>
  <c r="I76" i="1" s="1"/>
  <c r="F76" i="1"/>
  <c r="H76" i="1" s="1"/>
  <c r="G77" i="1"/>
  <c r="I77" i="1" s="1"/>
  <c r="F77" i="1"/>
  <c r="H77" i="1" s="1"/>
  <c r="F78" i="1"/>
  <c r="H78" i="1" s="1"/>
  <c r="G78" i="1"/>
  <c r="I78" i="1" s="1"/>
  <c r="F79" i="1"/>
  <c r="H79" i="1" s="1"/>
  <c r="G79" i="1"/>
  <c r="I79" i="1" s="1"/>
  <c r="F80" i="1"/>
  <c r="H80" i="1" s="1"/>
  <c r="G80" i="1"/>
  <c r="I80" i="1" s="1"/>
  <c r="G81" i="1"/>
  <c r="I81" i="1" s="1"/>
  <c r="F81" i="1"/>
  <c r="H81" i="1" s="1"/>
  <c r="F82" i="1"/>
  <c r="H82" i="1" s="1"/>
  <c r="G82" i="1"/>
  <c r="I82" i="1" s="1"/>
  <c r="F83" i="1"/>
  <c r="H83" i="1" s="1"/>
  <c r="G83" i="1"/>
  <c r="I83" i="1" s="1"/>
  <c r="G84" i="1"/>
  <c r="I84" i="1" s="1"/>
  <c r="F84" i="1"/>
  <c r="H84" i="1" s="1"/>
  <c r="G85" i="1"/>
  <c r="I85" i="1" s="1"/>
  <c r="F85" i="1"/>
  <c r="H85" i="1" s="1"/>
  <c r="G86" i="1"/>
  <c r="I86" i="1" s="1"/>
  <c r="F86" i="1"/>
  <c r="H86" i="1" s="1"/>
  <c r="F87" i="1"/>
  <c r="H87" i="1" s="1"/>
  <c r="G87" i="1"/>
  <c r="I87" i="1" s="1"/>
  <c r="G88" i="1"/>
  <c r="I88" i="1" s="1"/>
  <c r="F88" i="1"/>
  <c r="H88" i="1" s="1"/>
  <c r="G89" i="1"/>
  <c r="I89" i="1" s="1"/>
  <c r="F89" i="1"/>
  <c r="H89" i="1" s="1"/>
  <c r="G90" i="1"/>
  <c r="I90" i="1" s="1"/>
  <c r="F90" i="1"/>
  <c r="H90" i="1" s="1"/>
  <c r="F91" i="1"/>
  <c r="H91" i="1" s="1"/>
  <c r="G91" i="1"/>
  <c r="I91" i="1" s="1"/>
  <c r="F92" i="1"/>
  <c r="H92" i="1" s="1"/>
  <c r="G92" i="1"/>
  <c r="I92" i="1" s="1"/>
  <c r="F93" i="1"/>
  <c r="H93" i="1" s="1"/>
  <c r="G93" i="1"/>
  <c r="I93" i="1" s="1"/>
  <c r="G94" i="1"/>
  <c r="I94" i="1" s="1"/>
  <c r="F94" i="1"/>
  <c r="H94" i="1" s="1"/>
  <c r="G95" i="1"/>
  <c r="I95" i="1" s="1"/>
  <c r="F95" i="1"/>
  <c r="H95" i="1" s="1"/>
  <c r="G96" i="1"/>
  <c r="I96" i="1" s="1"/>
  <c r="F96" i="1"/>
  <c r="H96" i="1" s="1"/>
  <c r="G97" i="1"/>
  <c r="I97" i="1" s="1"/>
  <c r="F97" i="1"/>
  <c r="H97" i="1" s="1"/>
  <c r="G98" i="1"/>
  <c r="I98" i="1" s="1"/>
  <c r="F98" i="1"/>
  <c r="H98" i="1" s="1"/>
  <c r="G99" i="1"/>
  <c r="I99" i="1" s="1"/>
  <c r="F99" i="1"/>
  <c r="H99" i="1" s="1"/>
  <c r="G100" i="1"/>
  <c r="I100" i="1" s="1"/>
  <c r="F100" i="1"/>
  <c r="H100" i="1" s="1"/>
  <c r="F101" i="1"/>
  <c r="H101" i="1" s="1"/>
  <c r="G101" i="1"/>
  <c r="I101" i="1" s="1"/>
  <c r="G102" i="1"/>
  <c r="I102" i="1" s="1"/>
  <c r="F102" i="1"/>
  <c r="H102" i="1" s="1"/>
  <c r="F103" i="1"/>
  <c r="H103" i="1" s="1"/>
  <c r="G103" i="1"/>
  <c r="I103" i="1" s="1"/>
  <c r="G104" i="1"/>
  <c r="I104" i="1" s="1"/>
  <c r="F104" i="1"/>
  <c r="H104" i="1" s="1"/>
  <c r="G105" i="1"/>
  <c r="I105" i="1" s="1"/>
  <c r="F105" i="1"/>
  <c r="H105" i="1" s="1"/>
  <c r="F106" i="1"/>
  <c r="H106" i="1" s="1"/>
  <c r="G106" i="1"/>
  <c r="I106" i="1" s="1"/>
  <c r="F107" i="1"/>
  <c r="H107" i="1" s="1"/>
  <c r="G107" i="1"/>
  <c r="I107" i="1" s="1"/>
  <c r="F108" i="1"/>
  <c r="H108" i="1" s="1"/>
  <c r="G108" i="1"/>
  <c r="I108" i="1" s="1"/>
  <c r="F109" i="1"/>
  <c r="H109" i="1" s="1"/>
  <c r="G109" i="1"/>
  <c r="I109" i="1" s="1"/>
  <c r="G110" i="1"/>
  <c r="I110" i="1" s="1"/>
  <c r="F110" i="1"/>
  <c r="H110" i="1" s="1"/>
  <c r="F111" i="1"/>
  <c r="H111" i="1" s="1"/>
  <c r="G111" i="1"/>
  <c r="I111" i="1" s="1"/>
  <c r="F112" i="1"/>
  <c r="H112" i="1" s="1"/>
  <c r="G112" i="1"/>
  <c r="I112" i="1" s="1"/>
  <c r="F113" i="1"/>
  <c r="H113" i="1" s="1"/>
  <c r="G113" i="1"/>
  <c r="I113" i="1" s="1"/>
  <c r="F114" i="1"/>
  <c r="H114" i="1" s="1"/>
  <c r="G114" i="1"/>
  <c r="I114" i="1" s="1"/>
  <c r="F115" i="1"/>
  <c r="H115" i="1" s="1"/>
  <c r="G115" i="1"/>
  <c r="I115" i="1" s="1"/>
  <c r="F116" i="1"/>
  <c r="H116" i="1" s="1"/>
  <c r="G116" i="1"/>
  <c r="I116" i="1" s="1"/>
  <c r="F117" i="1"/>
  <c r="H117" i="1" s="1"/>
  <c r="G117" i="1"/>
  <c r="I117" i="1" s="1"/>
  <c r="F118" i="1"/>
  <c r="H118" i="1" s="1"/>
  <c r="G118" i="1"/>
  <c r="I118" i="1" s="1"/>
  <c r="G119" i="1"/>
  <c r="I119" i="1" s="1"/>
  <c r="F119" i="1"/>
  <c r="H119" i="1" s="1"/>
  <c r="F120" i="1"/>
  <c r="H120" i="1" s="1"/>
  <c r="G120" i="1"/>
  <c r="I120" i="1" s="1"/>
  <c r="F121" i="1"/>
  <c r="H121" i="1" s="1"/>
  <c r="G121" i="1"/>
  <c r="I121" i="1" s="1"/>
  <c r="F122" i="1"/>
  <c r="H122" i="1" s="1"/>
  <c r="G122" i="1"/>
  <c r="I122" i="1" s="1"/>
  <c r="F123" i="1"/>
  <c r="H123" i="1" s="1"/>
  <c r="G123" i="1"/>
  <c r="I123" i="1" s="1"/>
  <c r="G124" i="1"/>
  <c r="I124" i="1" s="1"/>
  <c r="F124" i="1"/>
  <c r="H124" i="1" s="1"/>
  <c r="G125" i="1"/>
  <c r="I125" i="1" s="1"/>
  <c r="F125" i="1"/>
  <c r="H125" i="1" s="1"/>
  <c r="F126" i="1"/>
  <c r="H126" i="1" s="1"/>
  <c r="G126" i="1"/>
  <c r="I126" i="1" s="1"/>
  <c r="G127" i="1"/>
  <c r="I127" i="1" s="1"/>
  <c r="F127" i="1"/>
  <c r="H127" i="1" s="1"/>
  <c r="G128" i="1"/>
  <c r="I128" i="1" s="1"/>
  <c r="F128" i="1"/>
  <c r="H128" i="1" s="1"/>
  <c r="F129" i="1"/>
  <c r="H129" i="1" s="1"/>
  <c r="G129" i="1"/>
  <c r="I129" i="1" s="1"/>
  <c r="G130" i="1"/>
  <c r="I130" i="1" s="1"/>
  <c r="F130" i="1"/>
  <c r="H130" i="1" s="1"/>
  <c r="G131" i="1"/>
  <c r="I131" i="1" s="1"/>
  <c r="F131" i="1"/>
  <c r="H131" i="1" s="1"/>
  <c r="G132" i="1"/>
  <c r="I132" i="1" s="1"/>
  <c r="F132" i="1"/>
  <c r="H132" i="1" s="1"/>
  <c r="G133" i="1"/>
  <c r="I133" i="1" s="1"/>
  <c r="F133" i="1"/>
  <c r="H133" i="1" s="1"/>
  <c r="G134" i="1"/>
  <c r="I134" i="1" s="1"/>
  <c r="F134" i="1"/>
  <c r="H134" i="1" s="1"/>
  <c r="G135" i="1"/>
  <c r="I135" i="1" s="1"/>
  <c r="F135" i="1"/>
  <c r="H135" i="1" s="1"/>
  <c r="G136" i="1"/>
  <c r="I136" i="1" s="1"/>
  <c r="F136" i="1"/>
  <c r="H136" i="1" s="1"/>
  <c r="F137" i="1"/>
  <c r="H137" i="1" s="1"/>
  <c r="G137" i="1"/>
  <c r="I137" i="1" s="1"/>
  <c r="G138" i="1"/>
  <c r="I138" i="1" s="1"/>
  <c r="F138" i="1"/>
  <c r="H138" i="1" s="1"/>
  <c r="G139" i="1"/>
  <c r="I139" i="1" s="1"/>
  <c r="F139" i="1"/>
  <c r="H139" i="1" s="1"/>
  <c r="G140" i="1"/>
  <c r="I140" i="1" s="1"/>
  <c r="F140" i="1"/>
  <c r="H140" i="1" s="1"/>
  <c r="F141" i="1"/>
  <c r="H141" i="1" s="1"/>
  <c r="G141" i="1"/>
  <c r="I141" i="1" s="1"/>
  <c r="G142" i="1"/>
  <c r="I142" i="1" s="1"/>
  <c r="F142" i="1"/>
  <c r="H142" i="1" s="1"/>
  <c r="G143" i="1"/>
  <c r="I143" i="1" s="1"/>
  <c r="F143" i="1"/>
  <c r="H143" i="1" s="1"/>
  <c r="G144" i="1"/>
  <c r="I144" i="1" s="1"/>
  <c r="F144" i="1"/>
  <c r="H144" i="1" s="1"/>
  <c r="F145" i="1"/>
  <c r="H145" i="1" s="1"/>
  <c r="G145" i="1"/>
  <c r="I145" i="1" s="1"/>
  <c r="G146" i="1"/>
  <c r="I146" i="1" s="1"/>
  <c r="F146" i="1"/>
  <c r="H146" i="1" s="1"/>
  <c r="G147" i="1"/>
  <c r="I147" i="1" s="1"/>
  <c r="F147" i="1"/>
  <c r="H147" i="1" s="1"/>
  <c r="G148" i="1"/>
  <c r="I148" i="1" s="1"/>
  <c r="F148" i="1"/>
  <c r="H148" i="1" s="1"/>
  <c r="G149" i="1"/>
  <c r="I149" i="1" s="1"/>
  <c r="F149" i="1"/>
  <c r="H149" i="1" s="1"/>
  <c r="G150" i="1"/>
  <c r="I150" i="1" s="1"/>
  <c r="F150" i="1"/>
  <c r="H150" i="1" s="1"/>
  <c r="G151" i="1"/>
  <c r="I151" i="1" s="1"/>
  <c r="F151" i="1"/>
  <c r="H151" i="1" s="1"/>
  <c r="G152" i="1"/>
  <c r="I152" i="1" s="1"/>
  <c r="F152" i="1"/>
  <c r="H152" i="1" s="1"/>
  <c r="G153" i="1"/>
  <c r="I153" i="1" s="1"/>
  <c r="F153" i="1"/>
  <c r="H153" i="1" s="1"/>
  <c r="G154" i="1"/>
  <c r="I154" i="1" s="1"/>
  <c r="F154" i="1"/>
  <c r="H154" i="1" s="1"/>
  <c r="G155" i="1"/>
  <c r="I155" i="1" s="1"/>
  <c r="F155" i="1"/>
  <c r="H155" i="1" s="1"/>
  <c r="G156" i="1"/>
  <c r="I156" i="1" s="1"/>
  <c r="F156" i="1"/>
  <c r="H156" i="1" s="1"/>
  <c r="F157" i="1"/>
  <c r="H157" i="1" s="1"/>
  <c r="G157" i="1"/>
  <c r="I157" i="1" s="1"/>
  <c r="G158" i="1"/>
  <c r="I158" i="1" s="1"/>
  <c r="F158" i="1"/>
  <c r="H158" i="1" s="1"/>
  <c r="G159" i="1"/>
  <c r="I159" i="1" s="1"/>
  <c r="F159" i="1"/>
  <c r="H159" i="1" s="1"/>
  <c r="G160" i="1"/>
  <c r="I160" i="1" s="1"/>
  <c r="F160" i="1"/>
  <c r="H160" i="1" s="1"/>
  <c r="G161" i="1"/>
  <c r="I161" i="1" s="1"/>
  <c r="F161" i="1"/>
  <c r="H161" i="1" s="1"/>
  <c r="G162" i="1"/>
  <c r="I162" i="1" s="1"/>
  <c r="F162" i="1"/>
  <c r="H162" i="1" s="1"/>
  <c r="G163" i="1"/>
  <c r="I163" i="1" s="1"/>
  <c r="F163" i="1"/>
  <c r="H163" i="1" s="1"/>
  <c r="F164" i="1"/>
  <c r="H164" i="1" s="1"/>
  <c r="G164" i="1"/>
  <c r="I164" i="1" s="1"/>
  <c r="G165" i="1"/>
  <c r="I165" i="1" s="1"/>
  <c r="F165" i="1"/>
  <c r="H165" i="1" s="1"/>
  <c r="G166" i="1"/>
  <c r="I166" i="1" s="1"/>
  <c r="F166" i="1"/>
  <c r="H166" i="1" s="1"/>
  <c r="G167" i="1"/>
  <c r="I167" i="1" s="1"/>
  <c r="F167" i="1"/>
  <c r="H167" i="1" s="1"/>
  <c r="G168" i="1"/>
  <c r="I168" i="1" s="1"/>
  <c r="F168" i="1"/>
  <c r="H168" i="1" s="1"/>
  <c r="G169" i="1"/>
  <c r="I169" i="1" s="1"/>
  <c r="F169" i="1"/>
  <c r="H169" i="1" s="1"/>
  <c r="G170" i="1"/>
  <c r="I170" i="1" s="1"/>
  <c r="F170" i="1"/>
  <c r="H170" i="1" s="1"/>
  <c r="G171" i="1"/>
  <c r="I171" i="1" s="1"/>
  <c r="F171" i="1"/>
  <c r="H171" i="1" s="1"/>
  <c r="F172" i="1"/>
  <c r="H172" i="1" s="1"/>
  <c r="G172" i="1"/>
  <c r="I172" i="1" s="1"/>
  <c r="F173" i="1"/>
  <c r="H173" i="1" s="1"/>
  <c r="G173" i="1"/>
  <c r="I173" i="1" s="1"/>
  <c r="F174" i="1"/>
  <c r="H174" i="1" s="1"/>
  <c r="G174" i="1"/>
  <c r="I174" i="1" s="1"/>
  <c r="F175" i="1"/>
  <c r="H175" i="1" s="1"/>
  <c r="G175" i="1"/>
  <c r="I175" i="1" s="1"/>
  <c r="F176" i="1"/>
  <c r="H176" i="1" s="1"/>
  <c r="G176" i="1"/>
  <c r="I176" i="1" s="1"/>
  <c r="G177" i="1"/>
  <c r="I177" i="1" s="1"/>
  <c r="F177" i="1"/>
  <c r="H177" i="1" s="1"/>
  <c r="G178" i="1"/>
  <c r="I178" i="1" s="1"/>
  <c r="F178" i="1"/>
  <c r="H178" i="1" s="1"/>
  <c r="F179" i="1"/>
  <c r="H179" i="1" s="1"/>
  <c r="G179" i="1"/>
  <c r="I179" i="1" s="1"/>
  <c r="G180" i="1"/>
  <c r="I180" i="1" s="1"/>
  <c r="F180" i="1"/>
  <c r="H180" i="1" s="1"/>
  <c r="F181" i="1"/>
  <c r="H181" i="1" s="1"/>
  <c r="G181" i="1"/>
  <c r="I181" i="1" s="1"/>
  <c r="G182" i="1"/>
  <c r="I182" i="1" s="1"/>
  <c r="F182" i="1"/>
  <c r="H182" i="1" s="1"/>
  <c r="F183" i="1"/>
  <c r="H183" i="1" s="1"/>
  <c r="G183" i="1"/>
  <c r="I183" i="1" s="1"/>
  <c r="G184" i="1"/>
  <c r="I184" i="1" s="1"/>
  <c r="F184" i="1"/>
  <c r="H184" i="1" s="1"/>
  <c r="F40" i="1"/>
  <c r="H40" i="1" s="1"/>
  <c r="G40" i="1"/>
  <c r="I40" i="1" s="1"/>
  <c r="F39" i="1"/>
  <c r="H39" i="1" s="1"/>
  <c r="G39" i="1"/>
  <c r="I39" i="1" s="1"/>
  <c r="G38" i="1"/>
  <c r="I38" i="1" s="1"/>
  <c r="F38" i="1"/>
  <c r="H38" i="1" s="1"/>
  <c r="G37" i="1"/>
  <c r="I37" i="1" s="1"/>
  <c r="F37" i="1"/>
  <c r="H37" i="1" s="1"/>
  <c r="J91" i="1" l="1"/>
  <c r="K112" i="1"/>
  <c r="J92" i="1" l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Q32" i="1"/>
  <c r="J146" i="1"/>
  <c r="K113" i="1"/>
  <c r="J147" i="1" l="1"/>
  <c r="K146" i="1"/>
  <c r="K147" i="1" s="1"/>
  <c r="K114" i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Q36" i="1"/>
  <c r="K148" i="1"/>
  <c r="J181" i="1" l="1"/>
  <c r="K149" i="1"/>
  <c r="J182" i="1" l="1"/>
  <c r="J183" i="1" s="1"/>
  <c r="J184" i="1" s="1"/>
  <c r="W32" i="1" s="1"/>
  <c r="K181" i="1"/>
  <c r="K182" i="1" s="1"/>
  <c r="K183" i="1" s="1"/>
  <c r="K184" i="1" s="1"/>
  <c r="K150" i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T36" i="1"/>
  <c r="K185" i="1"/>
  <c r="K186" i="1" s="1"/>
  <c r="K197" i="1"/>
  <c r="K198" i="1" s="1"/>
  <c r="K199" i="1" s="1"/>
  <c r="K200" i="1" s="1"/>
  <c r="K187" i="1" l="1"/>
  <c r="K188" i="1" s="1"/>
  <c r="K189" i="1" s="1"/>
  <c r="K190" i="1" s="1"/>
  <c r="K191" i="1" s="1"/>
  <c r="K192" i="1" s="1"/>
  <c r="K193" i="1" s="1"/>
  <c r="K194" i="1" s="1"/>
  <c r="K195" i="1" s="1"/>
  <c r="W36" i="1"/>
  <c r="N38" i="1" l="1"/>
  <c r="N39" i="1"/>
  <c r="N40" i="1" s="1"/>
  <c r="N41" i="1" s="1"/>
</calcChain>
</file>

<file path=xl/sharedStrings.xml><?xml version="1.0" encoding="utf-8"?>
<sst xmlns="http://schemas.openxmlformats.org/spreadsheetml/2006/main" count="54" uniqueCount="40">
  <si>
    <t>Date</t>
  </si>
  <si>
    <t>Closing Price (PHP)</t>
  </si>
  <si>
    <t>20 Day MA</t>
  </si>
  <si>
    <t>20 Day MSD</t>
  </si>
  <si>
    <t>LBB</t>
  </si>
  <si>
    <t>UBB</t>
  </si>
  <si>
    <t>n</t>
  </si>
  <si>
    <t>k</t>
  </si>
  <si>
    <t>Buy Trigger</t>
  </si>
  <si>
    <t>Sell Trigger</t>
  </si>
  <si>
    <t># Bought Shares</t>
  </si>
  <si>
    <t>ENDING BALANCE</t>
  </si>
  <si>
    <t>PROFIT</t>
  </si>
  <si>
    <t>PROFIT (%)</t>
  </si>
  <si>
    <t>PROFIT (% - ANNUM)</t>
  </si>
  <si>
    <t>Fund</t>
  </si>
  <si>
    <t>Buy on Mar-11</t>
  </si>
  <si>
    <t># of Shares Bought</t>
  </si>
  <si>
    <t>Sell on Mar-13</t>
  </si>
  <si>
    <t>Current Fund</t>
  </si>
  <si>
    <t>Price per Share</t>
  </si>
  <si>
    <t>Buy on Apr-07</t>
  </si>
  <si>
    <t>Sell on July-02</t>
  </si>
  <si>
    <t>Sell on May-11</t>
  </si>
  <si>
    <t>Buy on Jun-30</t>
  </si>
  <si>
    <t>Buy on Aug-18</t>
  </si>
  <si>
    <t>Sell on Aug-25</t>
  </si>
  <si>
    <t>Ending Balance</t>
  </si>
  <si>
    <t>Profit</t>
  </si>
  <si>
    <t>Yield (%)</t>
  </si>
  <si>
    <t>Yield (% - Annum)</t>
  </si>
  <si>
    <t>Summary of Simulated Trading Transactions (4 Closed Trade Opportunities)</t>
  </si>
  <si>
    <t>Closing Price</t>
  </si>
  <si>
    <t>Days Ago</t>
  </si>
  <si>
    <t>Gains</t>
  </si>
  <si>
    <t>Losses</t>
  </si>
  <si>
    <t>Average</t>
  </si>
  <si>
    <t xml:space="preserve">                    Relative Strength</t>
  </si>
  <si>
    <t xml:space="preserve">         Relative Strength Index</t>
  </si>
  <si>
    <t xml:space="preserve">15-DAY RSI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</si>
</sst>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17" fontId="0" fillId="0" borderId="0" xfId="0" applyNumberFormat="1"/>
    <xf numFmtId="0" fontId="3" fillId="0" borderId="0" xfId="0" applyFont="1"/>
    <xf numFmtId="1" fontId="0" fillId="0" borderId="0" xfId="0" applyNumberFormat="1"/>
    <xf numFmtId="1" fontId="2" fillId="3" borderId="0" xfId="2" applyNumberFormat="1"/>
    <xf numFmtId="0" fontId="1" fillId="2" borderId="0" xfId="1"/>
    <xf numFmtId="0" fontId="2" fillId="3" borderId="0" xfId="2"/>
    <xf numFmtId="10" fontId="0" fillId="0" borderId="0" xfId="0" applyNumberFormat="1"/>
    <xf numFmtId="164" fontId="0" fillId="0" borderId="0" xfId="0" applyNumberFormat="1"/>
    <xf numFmtId="164" fontId="1" fillId="2" borderId="0" xfId="1" applyNumberFormat="1"/>
    <xf numFmtId="0" fontId="3" fillId="0" borderId="0" xfId="0" applyFont="1" applyAlignment="1">
      <alignment horizontal="center"/>
    </xf>
    <xf numFmtId="0" fontId="0" fillId="0" borderId="1" xfId="0" applyBorder="1"/>
  </cellXfs>
  <cellStyles count="3">
    <cellStyle name="Bad" xfId="2" builtinId="27"/>
    <cellStyle name="Good" xfId="1" builtinId="26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&quot;₱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₱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EMI 2026 YTD CLOSING PRICES WITH BOLLINGER BANDS AND 20 DAY MA</a:t>
            </a:r>
          </a:p>
        </c:rich>
      </c:tx>
      <c:layout>
        <c:manualLayout>
          <c:xMode val="edge"/>
          <c:yMode val="edge"/>
          <c:x val="0.12303988126611026"/>
          <c:y val="4.3157319595486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Sheet1!$C$26</c:f>
              <c:strCache>
                <c:ptCount val="1"/>
                <c:pt idx="0">
                  <c:v>Closing Price (PHP)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Sheet1!$B$27:$B$195</c:f>
              <c:numCache>
                <c:formatCode>mmm\-yy</c:formatCode>
                <c:ptCount val="169"/>
                <c:pt idx="0">
                  <c:v>37257</c:v>
                </c:pt>
                <c:pt idx="1">
                  <c:v>38353</c:v>
                </c:pt>
                <c:pt idx="2">
                  <c:v>38718</c:v>
                </c:pt>
                <c:pt idx="3">
                  <c:v>39083</c:v>
                </c:pt>
                <c:pt idx="4">
                  <c:v>39448</c:v>
                </c:pt>
                <c:pt idx="5">
                  <c:v>39814</c:v>
                </c:pt>
                <c:pt idx="6">
                  <c:v>40909</c:v>
                </c:pt>
                <c:pt idx="7">
                  <c:v>41275</c:v>
                </c:pt>
                <c:pt idx="8">
                  <c:v>41640</c:v>
                </c:pt>
                <c:pt idx="9">
                  <c:v>42005</c:v>
                </c:pt>
                <c:pt idx="10">
                  <c:v>42370</c:v>
                </c:pt>
                <c:pt idx="11">
                  <c:v>43466</c:v>
                </c:pt>
                <c:pt idx="12">
                  <c:v>43831</c:v>
                </c:pt>
                <c:pt idx="13">
                  <c:v>44197</c:v>
                </c:pt>
                <c:pt idx="14">
                  <c:v>44562</c:v>
                </c:pt>
                <c:pt idx="15">
                  <c:v>44927</c:v>
                </c:pt>
                <c:pt idx="16">
                  <c:v>46023</c:v>
                </c:pt>
                <c:pt idx="17">
                  <c:v>46388</c:v>
                </c:pt>
                <c:pt idx="18">
                  <c:v>46753</c:v>
                </c:pt>
                <c:pt idx="19">
                  <c:v>47119</c:v>
                </c:pt>
                <c:pt idx="20">
                  <c:v>47484</c:v>
                </c:pt>
                <c:pt idx="21">
                  <c:v>37288</c:v>
                </c:pt>
                <c:pt idx="22">
                  <c:v>37653</c:v>
                </c:pt>
                <c:pt idx="23">
                  <c:v>38018</c:v>
                </c:pt>
                <c:pt idx="24">
                  <c:v>38384</c:v>
                </c:pt>
                <c:pt idx="25">
                  <c:v>38749</c:v>
                </c:pt>
                <c:pt idx="26">
                  <c:v>39845</c:v>
                </c:pt>
                <c:pt idx="27">
                  <c:v>40210</c:v>
                </c:pt>
                <c:pt idx="28">
                  <c:v>40575</c:v>
                </c:pt>
                <c:pt idx="29">
                  <c:v>40940</c:v>
                </c:pt>
                <c:pt idx="30">
                  <c:v>41306</c:v>
                </c:pt>
                <c:pt idx="31">
                  <c:v>42401</c:v>
                </c:pt>
                <c:pt idx="32">
                  <c:v>43132</c:v>
                </c:pt>
                <c:pt idx="33">
                  <c:v>43497</c:v>
                </c:pt>
                <c:pt idx="34">
                  <c:v>43862</c:v>
                </c:pt>
                <c:pt idx="35">
                  <c:v>44958</c:v>
                </c:pt>
                <c:pt idx="36">
                  <c:v>45323</c:v>
                </c:pt>
                <c:pt idx="37">
                  <c:v>45689</c:v>
                </c:pt>
                <c:pt idx="38">
                  <c:v>46054</c:v>
                </c:pt>
                <c:pt idx="39">
                  <c:v>46419</c:v>
                </c:pt>
                <c:pt idx="40">
                  <c:v>37316</c:v>
                </c:pt>
                <c:pt idx="41">
                  <c:v>37681</c:v>
                </c:pt>
                <c:pt idx="42">
                  <c:v>38047</c:v>
                </c:pt>
                <c:pt idx="43">
                  <c:v>38412</c:v>
                </c:pt>
                <c:pt idx="44">
                  <c:v>38777</c:v>
                </c:pt>
                <c:pt idx="45">
                  <c:v>39873</c:v>
                </c:pt>
                <c:pt idx="46">
                  <c:v>40238</c:v>
                </c:pt>
                <c:pt idx="47">
                  <c:v>40603</c:v>
                </c:pt>
                <c:pt idx="48">
                  <c:v>40969</c:v>
                </c:pt>
                <c:pt idx="49">
                  <c:v>41334</c:v>
                </c:pt>
                <c:pt idx="50">
                  <c:v>42430</c:v>
                </c:pt>
                <c:pt idx="51">
                  <c:v>42795</c:v>
                </c:pt>
                <c:pt idx="52">
                  <c:v>43160</c:v>
                </c:pt>
                <c:pt idx="53">
                  <c:v>43525</c:v>
                </c:pt>
                <c:pt idx="54">
                  <c:v>44986</c:v>
                </c:pt>
                <c:pt idx="55">
                  <c:v>45352</c:v>
                </c:pt>
                <c:pt idx="56">
                  <c:v>45717</c:v>
                </c:pt>
                <c:pt idx="57">
                  <c:v>46082</c:v>
                </c:pt>
                <c:pt idx="58">
                  <c:v>46447</c:v>
                </c:pt>
                <c:pt idx="59">
                  <c:v>47543</c:v>
                </c:pt>
                <c:pt idx="60">
                  <c:v>47908</c:v>
                </c:pt>
                <c:pt idx="61">
                  <c:v>36982</c:v>
                </c:pt>
                <c:pt idx="62">
                  <c:v>38808</c:v>
                </c:pt>
                <c:pt idx="63">
                  <c:v>39173</c:v>
                </c:pt>
                <c:pt idx="64">
                  <c:v>39539</c:v>
                </c:pt>
                <c:pt idx="65">
                  <c:v>40269</c:v>
                </c:pt>
                <c:pt idx="66">
                  <c:v>41365</c:v>
                </c:pt>
                <c:pt idx="67">
                  <c:v>41730</c:v>
                </c:pt>
                <c:pt idx="68">
                  <c:v>42095</c:v>
                </c:pt>
                <c:pt idx="69">
                  <c:v>42461</c:v>
                </c:pt>
                <c:pt idx="70">
                  <c:v>42826</c:v>
                </c:pt>
                <c:pt idx="71">
                  <c:v>43922</c:v>
                </c:pt>
                <c:pt idx="72">
                  <c:v>44287</c:v>
                </c:pt>
                <c:pt idx="73">
                  <c:v>44652</c:v>
                </c:pt>
                <c:pt idx="74">
                  <c:v>45017</c:v>
                </c:pt>
                <c:pt idx="75">
                  <c:v>45383</c:v>
                </c:pt>
                <c:pt idx="76">
                  <c:v>46478</c:v>
                </c:pt>
                <c:pt idx="77">
                  <c:v>46844</c:v>
                </c:pt>
                <c:pt idx="78">
                  <c:v>47209</c:v>
                </c:pt>
                <c:pt idx="79">
                  <c:v>47574</c:v>
                </c:pt>
                <c:pt idx="80">
                  <c:v>38108</c:v>
                </c:pt>
                <c:pt idx="81">
                  <c:v>38473</c:v>
                </c:pt>
                <c:pt idx="82">
                  <c:v>38838</c:v>
                </c:pt>
                <c:pt idx="83">
                  <c:v>39203</c:v>
                </c:pt>
                <c:pt idx="84">
                  <c:v>39569</c:v>
                </c:pt>
                <c:pt idx="85">
                  <c:v>40664</c:v>
                </c:pt>
                <c:pt idx="86">
                  <c:v>41030</c:v>
                </c:pt>
                <c:pt idx="87">
                  <c:v>41395</c:v>
                </c:pt>
                <c:pt idx="88">
                  <c:v>41760</c:v>
                </c:pt>
                <c:pt idx="89">
                  <c:v>42125</c:v>
                </c:pt>
                <c:pt idx="90">
                  <c:v>43221</c:v>
                </c:pt>
                <c:pt idx="91">
                  <c:v>43586</c:v>
                </c:pt>
                <c:pt idx="92">
                  <c:v>43952</c:v>
                </c:pt>
                <c:pt idx="93">
                  <c:v>44317</c:v>
                </c:pt>
                <c:pt idx="94">
                  <c:v>44682</c:v>
                </c:pt>
                <c:pt idx="95">
                  <c:v>45778</c:v>
                </c:pt>
                <c:pt idx="96">
                  <c:v>46143</c:v>
                </c:pt>
                <c:pt idx="97">
                  <c:v>46874</c:v>
                </c:pt>
                <c:pt idx="98">
                  <c:v>47239</c:v>
                </c:pt>
                <c:pt idx="99">
                  <c:v>37043</c:v>
                </c:pt>
                <c:pt idx="100">
                  <c:v>37408</c:v>
                </c:pt>
                <c:pt idx="101">
                  <c:v>37773</c:v>
                </c:pt>
                <c:pt idx="102">
                  <c:v>38139</c:v>
                </c:pt>
                <c:pt idx="103">
                  <c:v>38504</c:v>
                </c:pt>
                <c:pt idx="104">
                  <c:v>39600</c:v>
                </c:pt>
                <c:pt idx="105">
                  <c:v>39965</c:v>
                </c:pt>
                <c:pt idx="106">
                  <c:v>40330</c:v>
                </c:pt>
                <c:pt idx="107">
                  <c:v>40695</c:v>
                </c:pt>
                <c:pt idx="108">
                  <c:v>42156</c:v>
                </c:pt>
                <c:pt idx="109">
                  <c:v>42522</c:v>
                </c:pt>
                <c:pt idx="110">
                  <c:v>42887</c:v>
                </c:pt>
                <c:pt idx="111">
                  <c:v>43252</c:v>
                </c:pt>
                <c:pt idx="112">
                  <c:v>43617</c:v>
                </c:pt>
                <c:pt idx="113">
                  <c:v>44713</c:v>
                </c:pt>
                <c:pt idx="114">
                  <c:v>45078</c:v>
                </c:pt>
                <c:pt idx="115">
                  <c:v>45444</c:v>
                </c:pt>
                <c:pt idx="116">
                  <c:v>45809</c:v>
                </c:pt>
                <c:pt idx="117">
                  <c:v>46174</c:v>
                </c:pt>
                <c:pt idx="118">
                  <c:v>47270</c:v>
                </c:pt>
                <c:pt idx="119">
                  <c:v>47635</c:v>
                </c:pt>
                <c:pt idx="120">
                  <c:v>37073</c:v>
                </c:pt>
                <c:pt idx="121">
                  <c:v>37438</c:v>
                </c:pt>
                <c:pt idx="122">
                  <c:v>37803</c:v>
                </c:pt>
                <c:pt idx="123">
                  <c:v>38899</c:v>
                </c:pt>
                <c:pt idx="124">
                  <c:v>39264</c:v>
                </c:pt>
                <c:pt idx="125">
                  <c:v>39630</c:v>
                </c:pt>
                <c:pt idx="126">
                  <c:v>39995</c:v>
                </c:pt>
                <c:pt idx="127">
                  <c:v>40360</c:v>
                </c:pt>
                <c:pt idx="128">
                  <c:v>41456</c:v>
                </c:pt>
                <c:pt idx="129">
                  <c:v>41821</c:v>
                </c:pt>
                <c:pt idx="130">
                  <c:v>42186</c:v>
                </c:pt>
                <c:pt idx="131">
                  <c:v>42552</c:v>
                </c:pt>
                <c:pt idx="132">
                  <c:v>42917</c:v>
                </c:pt>
                <c:pt idx="133">
                  <c:v>44013</c:v>
                </c:pt>
                <c:pt idx="134">
                  <c:v>44378</c:v>
                </c:pt>
                <c:pt idx="135">
                  <c:v>44743</c:v>
                </c:pt>
                <c:pt idx="136">
                  <c:v>45108</c:v>
                </c:pt>
                <c:pt idx="137">
                  <c:v>45474</c:v>
                </c:pt>
                <c:pt idx="138">
                  <c:v>46569</c:v>
                </c:pt>
                <c:pt idx="139">
                  <c:v>46935</c:v>
                </c:pt>
                <c:pt idx="140">
                  <c:v>47300</c:v>
                </c:pt>
                <c:pt idx="141">
                  <c:v>47665</c:v>
                </c:pt>
                <c:pt idx="142">
                  <c:v>48030</c:v>
                </c:pt>
                <c:pt idx="143">
                  <c:v>37834</c:v>
                </c:pt>
                <c:pt idx="144">
                  <c:v>38200</c:v>
                </c:pt>
                <c:pt idx="145">
                  <c:v>38565</c:v>
                </c:pt>
                <c:pt idx="146">
                  <c:v>38930</c:v>
                </c:pt>
                <c:pt idx="147">
                  <c:v>39295</c:v>
                </c:pt>
                <c:pt idx="148">
                  <c:v>40391</c:v>
                </c:pt>
                <c:pt idx="149">
                  <c:v>40756</c:v>
                </c:pt>
                <c:pt idx="150">
                  <c:v>41122</c:v>
                </c:pt>
                <c:pt idx="151">
                  <c:v>41487</c:v>
                </c:pt>
                <c:pt idx="152">
                  <c:v>41852</c:v>
                </c:pt>
                <c:pt idx="153">
                  <c:v>42948</c:v>
                </c:pt>
                <c:pt idx="154">
                  <c:v>43313</c:v>
                </c:pt>
                <c:pt idx="155">
                  <c:v>43678</c:v>
                </c:pt>
                <c:pt idx="156">
                  <c:v>44044</c:v>
                </c:pt>
                <c:pt idx="157">
                  <c:v>45505</c:v>
                </c:pt>
                <c:pt idx="158">
                  <c:v>45870</c:v>
                </c:pt>
                <c:pt idx="159">
                  <c:v>46235</c:v>
                </c:pt>
                <c:pt idx="160">
                  <c:v>46600</c:v>
                </c:pt>
                <c:pt idx="161">
                  <c:v>46966</c:v>
                </c:pt>
                <c:pt idx="162">
                  <c:v>37135</c:v>
                </c:pt>
                <c:pt idx="163">
                  <c:v>37500</c:v>
                </c:pt>
                <c:pt idx="164">
                  <c:v>37865</c:v>
                </c:pt>
                <c:pt idx="165">
                  <c:v>38231</c:v>
                </c:pt>
                <c:pt idx="166">
                  <c:v>39326</c:v>
                </c:pt>
                <c:pt idx="167">
                  <c:v>39692</c:v>
                </c:pt>
                <c:pt idx="168">
                  <c:v>40057</c:v>
                </c:pt>
              </c:numCache>
            </c:numRef>
          </c:cat>
          <c:val>
            <c:numRef>
              <c:f>Sheet1!$C$27:$C$195</c:f>
              <c:numCache>
                <c:formatCode>General</c:formatCode>
                <c:ptCount val="169"/>
                <c:pt idx="0">
                  <c:v>16.100000000000001</c:v>
                </c:pt>
                <c:pt idx="1">
                  <c:v>16.04</c:v>
                </c:pt>
                <c:pt idx="2">
                  <c:v>16</c:v>
                </c:pt>
                <c:pt idx="3">
                  <c:v>16.079999999999998</c:v>
                </c:pt>
                <c:pt idx="4">
                  <c:v>16.059999999999999</c:v>
                </c:pt>
                <c:pt idx="5">
                  <c:v>16.02</c:v>
                </c:pt>
                <c:pt idx="6">
                  <c:v>16.02</c:v>
                </c:pt>
                <c:pt idx="7">
                  <c:v>16</c:v>
                </c:pt>
                <c:pt idx="8">
                  <c:v>16</c:v>
                </c:pt>
                <c:pt idx="9">
                  <c:v>16.02</c:v>
                </c:pt>
                <c:pt idx="10">
                  <c:v>16</c:v>
                </c:pt>
                <c:pt idx="11">
                  <c:v>16.02</c:v>
                </c:pt>
                <c:pt idx="12">
                  <c:v>16</c:v>
                </c:pt>
                <c:pt idx="13">
                  <c:v>16</c:v>
                </c:pt>
                <c:pt idx="14">
                  <c:v>15.66</c:v>
                </c:pt>
                <c:pt idx="15">
                  <c:v>16</c:v>
                </c:pt>
                <c:pt idx="16">
                  <c:v>16</c:v>
                </c:pt>
                <c:pt idx="17">
                  <c:v>15.56</c:v>
                </c:pt>
                <c:pt idx="18">
                  <c:v>15.8</c:v>
                </c:pt>
                <c:pt idx="19">
                  <c:v>15.7</c:v>
                </c:pt>
                <c:pt idx="20">
                  <c:v>15.46</c:v>
                </c:pt>
                <c:pt idx="21">
                  <c:v>15.72</c:v>
                </c:pt>
                <c:pt idx="22">
                  <c:v>15.46</c:v>
                </c:pt>
                <c:pt idx="23">
                  <c:v>15.46</c:v>
                </c:pt>
                <c:pt idx="24">
                  <c:v>15.46</c:v>
                </c:pt>
                <c:pt idx="25">
                  <c:v>15.68</c:v>
                </c:pt>
                <c:pt idx="26">
                  <c:v>15.46</c:v>
                </c:pt>
                <c:pt idx="27">
                  <c:v>15.36</c:v>
                </c:pt>
                <c:pt idx="28">
                  <c:v>15.36</c:v>
                </c:pt>
                <c:pt idx="29">
                  <c:v>15.34</c:v>
                </c:pt>
                <c:pt idx="30">
                  <c:v>15.5</c:v>
                </c:pt>
                <c:pt idx="31">
                  <c:v>15.7</c:v>
                </c:pt>
                <c:pt idx="32">
                  <c:v>15.5</c:v>
                </c:pt>
                <c:pt idx="33">
                  <c:v>15.7</c:v>
                </c:pt>
                <c:pt idx="34">
                  <c:v>15.72</c:v>
                </c:pt>
                <c:pt idx="35">
                  <c:v>16.02</c:v>
                </c:pt>
                <c:pt idx="36">
                  <c:v>16.02</c:v>
                </c:pt>
                <c:pt idx="37">
                  <c:v>15.9</c:v>
                </c:pt>
                <c:pt idx="38">
                  <c:v>15.8</c:v>
                </c:pt>
                <c:pt idx="39">
                  <c:v>15.56</c:v>
                </c:pt>
                <c:pt idx="40">
                  <c:v>15.34</c:v>
                </c:pt>
                <c:pt idx="41">
                  <c:v>15.36</c:v>
                </c:pt>
                <c:pt idx="42">
                  <c:v>15.38</c:v>
                </c:pt>
                <c:pt idx="43">
                  <c:v>15.34</c:v>
                </c:pt>
                <c:pt idx="44">
                  <c:v>15.34</c:v>
                </c:pt>
                <c:pt idx="45">
                  <c:v>15.3</c:v>
                </c:pt>
                <c:pt idx="46">
                  <c:v>15.32</c:v>
                </c:pt>
                <c:pt idx="47">
                  <c:v>14.92</c:v>
                </c:pt>
                <c:pt idx="48">
                  <c:v>14.82</c:v>
                </c:pt>
                <c:pt idx="49">
                  <c:v>15.58</c:v>
                </c:pt>
                <c:pt idx="50">
                  <c:v>15.54</c:v>
                </c:pt>
                <c:pt idx="51">
                  <c:v>15.3</c:v>
                </c:pt>
                <c:pt idx="52">
                  <c:v>15.3</c:v>
                </c:pt>
                <c:pt idx="53">
                  <c:v>15.28</c:v>
                </c:pt>
                <c:pt idx="54">
                  <c:v>15.28</c:v>
                </c:pt>
                <c:pt idx="55">
                  <c:v>15.3</c:v>
                </c:pt>
                <c:pt idx="56">
                  <c:v>15.28</c:v>
                </c:pt>
                <c:pt idx="57">
                  <c:v>15.3</c:v>
                </c:pt>
                <c:pt idx="58">
                  <c:v>15.28</c:v>
                </c:pt>
                <c:pt idx="59">
                  <c:v>15.28</c:v>
                </c:pt>
                <c:pt idx="60">
                  <c:v>16</c:v>
                </c:pt>
                <c:pt idx="61">
                  <c:v>15.48</c:v>
                </c:pt>
                <c:pt idx="62">
                  <c:v>15.5</c:v>
                </c:pt>
                <c:pt idx="63">
                  <c:v>15.14</c:v>
                </c:pt>
                <c:pt idx="64">
                  <c:v>15.46</c:v>
                </c:pt>
                <c:pt idx="65">
                  <c:v>15.44</c:v>
                </c:pt>
                <c:pt idx="66">
                  <c:v>15.38</c:v>
                </c:pt>
                <c:pt idx="67">
                  <c:v>15.4</c:v>
                </c:pt>
                <c:pt idx="68">
                  <c:v>15.32</c:v>
                </c:pt>
                <c:pt idx="69">
                  <c:v>15.4</c:v>
                </c:pt>
                <c:pt idx="70">
                  <c:v>15.3</c:v>
                </c:pt>
                <c:pt idx="71">
                  <c:v>15.3</c:v>
                </c:pt>
                <c:pt idx="72">
                  <c:v>15.4</c:v>
                </c:pt>
                <c:pt idx="73">
                  <c:v>15.3</c:v>
                </c:pt>
                <c:pt idx="74">
                  <c:v>15.32</c:v>
                </c:pt>
                <c:pt idx="75">
                  <c:v>15.28</c:v>
                </c:pt>
                <c:pt idx="76">
                  <c:v>15.24</c:v>
                </c:pt>
                <c:pt idx="77">
                  <c:v>15.3</c:v>
                </c:pt>
                <c:pt idx="78">
                  <c:v>15.28</c:v>
                </c:pt>
                <c:pt idx="79">
                  <c:v>15.22</c:v>
                </c:pt>
                <c:pt idx="80">
                  <c:v>15.7</c:v>
                </c:pt>
                <c:pt idx="81">
                  <c:v>15.48</c:v>
                </c:pt>
                <c:pt idx="82">
                  <c:v>15.46</c:v>
                </c:pt>
                <c:pt idx="83">
                  <c:v>15.72</c:v>
                </c:pt>
                <c:pt idx="84">
                  <c:v>15.68</c:v>
                </c:pt>
                <c:pt idx="85">
                  <c:v>15.86</c:v>
                </c:pt>
                <c:pt idx="86">
                  <c:v>15.76</c:v>
                </c:pt>
                <c:pt idx="87">
                  <c:v>15.88</c:v>
                </c:pt>
                <c:pt idx="88">
                  <c:v>15.36</c:v>
                </c:pt>
                <c:pt idx="89">
                  <c:v>15.3</c:v>
                </c:pt>
                <c:pt idx="90">
                  <c:v>15.3</c:v>
                </c:pt>
                <c:pt idx="91">
                  <c:v>15.3</c:v>
                </c:pt>
                <c:pt idx="92">
                  <c:v>15.38</c:v>
                </c:pt>
                <c:pt idx="93">
                  <c:v>15.2</c:v>
                </c:pt>
                <c:pt idx="94">
                  <c:v>15.38</c:v>
                </c:pt>
                <c:pt idx="95">
                  <c:v>15.28</c:v>
                </c:pt>
                <c:pt idx="96">
                  <c:v>15.46</c:v>
                </c:pt>
                <c:pt idx="97">
                  <c:v>15.5</c:v>
                </c:pt>
                <c:pt idx="98">
                  <c:v>15.5</c:v>
                </c:pt>
                <c:pt idx="99">
                  <c:v>15.24</c:v>
                </c:pt>
                <c:pt idx="100">
                  <c:v>15.34</c:v>
                </c:pt>
                <c:pt idx="101">
                  <c:v>15.22</c:v>
                </c:pt>
                <c:pt idx="102">
                  <c:v>15.24</c:v>
                </c:pt>
                <c:pt idx="103">
                  <c:v>15.24</c:v>
                </c:pt>
                <c:pt idx="104">
                  <c:v>15.28</c:v>
                </c:pt>
                <c:pt idx="105">
                  <c:v>15.7</c:v>
                </c:pt>
                <c:pt idx="106">
                  <c:v>15.32</c:v>
                </c:pt>
                <c:pt idx="107">
                  <c:v>15.42</c:v>
                </c:pt>
                <c:pt idx="108">
                  <c:v>16</c:v>
                </c:pt>
                <c:pt idx="109">
                  <c:v>15.4</c:v>
                </c:pt>
                <c:pt idx="110">
                  <c:v>15.5</c:v>
                </c:pt>
                <c:pt idx="111">
                  <c:v>15.56</c:v>
                </c:pt>
                <c:pt idx="112">
                  <c:v>15.6</c:v>
                </c:pt>
                <c:pt idx="113">
                  <c:v>15.3</c:v>
                </c:pt>
                <c:pt idx="114">
                  <c:v>15.38</c:v>
                </c:pt>
                <c:pt idx="115">
                  <c:v>15.34</c:v>
                </c:pt>
                <c:pt idx="116">
                  <c:v>15.46</c:v>
                </c:pt>
                <c:pt idx="117">
                  <c:v>15.32</c:v>
                </c:pt>
                <c:pt idx="118">
                  <c:v>15.2</c:v>
                </c:pt>
                <c:pt idx="119">
                  <c:v>15.2</c:v>
                </c:pt>
                <c:pt idx="120">
                  <c:v>15.28</c:v>
                </c:pt>
                <c:pt idx="121">
                  <c:v>15.7</c:v>
                </c:pt>
                <c:pt idx="122">
                  <c:v>15.38</c:v>
                </c:pt>
                <c:pt idx="123">
                  <c:v>15.3</c:v>
                </c:pt>
                <c:pt idx="124">
                  <c:v>15.32</c:v>
                </c:pt>
                <c:pt idx="125">
                  <c:v>15.7</c:v>
                </c:pt>
                <c:pt idx="126">
                  <c:v>15.52</c:v>
                </c:pt>
                <c:pt idx="127">
                  <c:v>15.58</c:v>
                </c:pt>
                <c:pt idx="128">
                  <c:v>15.46</c:v>
                </c:pt>
                <c:pt idx="129">
                  <c:v>15.7</c:v>
                </c:pt>
                <c:pt idx="130">
                  <c:v>15.5</c:v>
                </c:pt>
                <c:pt idx="131">
                  <c:v>15.42</c:v>
                </c:pt>
                <c:pt idx="132">
                  <c:v>15.4</c:v>
                </c:pt>
                <c:pt idx="133">
                  <c:v>15.42</c:v>
                </c:pt>
                <c:pt idx="134">
                  <c:v>15.4</c:v>
                </c:pt>
                <c:pt idx="135">
                  <c:v>15.46</c:v>
                </c:pt>
                <c:pt idx="136">
                  <c:v>15.7</c:v>
                </c:pt>
                <c:pt idx="137">
                  <c:v>15.7</c:v>
                </c:pt>
                <c:pt idx="138">
                  <c:v>15.74</c:v>
                </c:pt>
                <c:pt idx="139">
                  <c:v>15.52</c:v>
                </c:pt>
                <c:pt idx="140">
                  <c:v>15.6</c:v>
                </c:pt>
                <c:pt idx="141">
                  <c:v>15.52</c:v>
                </c:pt>
                <c:pt idx="142">
                  <c:v>15.74</c:v>
                </c:pt>
                <c:pt idx="143">
                  <c:v>15.5</c:v>
                </c:pt>
                <c:pt idx="144">
                  <c:v>15.86</c:v>
                </c:pt>
                <c:pt idx="145">
                  <c:v>15.82</c:v>
                </c:pt>
                <c:pt idx="146">
                  <c:v>15.9</c:v>
                </c:pt>
                <c:pt idx="147">
                  <c:v>15.84</c:v>
                </c:pt>
                <c:pt idx="148">
                  <c:v>15.5</c:v>
                </c:pt>
                <c:pt idx="149">
                  <c:v>15.56</c:v>
                </c:pt>
                <c:pt idx="150">
                  <c:v>15.24</c:v>
                </c:pt>
                <c:pt idx="151">
                  <c:v>15.14</c:v>
                </c:pt>
                <c:pt idx="152">
                  <c:v>15.08</c:v>
                </c:pt>
                <c:pt idx="153">
                  <c:v>15.02</c:v>
                </c:pt>
                <c:pt idx="154">
                  <c:v>15</c:v>
                </c:pt>
                <c:pt idx="155">
                  <c:v>15</c:v>
                </c:pt>
                <c:pt idx="156">
                  <c:v>15.02</c:v>
                </c:pt>
                <c:pt idx="157">
                  <c:v>15.66</c:v>
                </c:pt>
                <c:pt idx="158">
                  <c:v>15.98</c:v>
                </c:pt>
                <c:pt idx="159">
                  <c:v>15.72</c:v>
                </c:pt>
                <c:pt idx="160">
                  <c:v>15.88</c:v>
                </c:pt>
                <c:pt idx="161">
                  <c:v>15.38</c:v>
                </c:pt>
                <c:pt idx="162">
                  <c:v>15.5</c:v>
                </c:pt>
                <c:pt idx="163">
                  <c:v>15.38</c:v>
                </c:pt>
                <c:pt idx="164">
                  <c:v>15.42</c:v>
                </c:pt>
                <c:pt idx="165">
                  <c:v>15.4</c:v>
                </c:pt>
                <c:pt idx="166">
                  <c:v>15.3</c:v>
                </c:pt>
                <c:pt idx="167">
                  <c:v>15.28</c:v>
                </c:pt>
                <c:pt idx="168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1-454C-87E3-38C0D6BB7248}"/>
            </c:ext>
          </c:extLst>
        </c:ser>
        <c:ser>
          <c:idx val="1"/>
          <c:order val="1"/>
          <c:tx>
            <c:strRef>
              <c:f>Sheet1!$D$26</c:f>
              <c:strCache>
                <c:ptCount val="1"/>
                <c:pt idx="0">
                  <c:v>20 Day MA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Sheet1!$D$27:$D$195</c:f>
              <c:numCache>
                <c:formatCode>General</c:formatCode>
                <c:ptCount val="169"/>
                <c:pt idx="0">
                  <c:v>16.063809523809521</c:v>
                </c:pt>
                <c:pt idx="1">
                  <c:v>16.034285714285708</c:v>
                </c:pt>
                <c:pt idx="2">
                  <c:v>16.017142857142854</c:v>
                </c:pt>
                <c:pt idx="3">
                  <c:v>16.043809523809522</c:v>
                </c:pt>
                <c:pt idx="4">
                  <c:v>16.018095238095242</c:v>
                </c:pt>
                <c:pt idx="5">
                  <c:v>16.005714285714287</c:v>
                </c:pt>
                <c:pt idx="6">
                  <c:v>16.00476190476191</c:v>
                </c:pt>
                <c:pt idx="7">
                  <c:v>15.979999999999999</c:v>
                </c:pt>
                <c:pt idx="8">
                  <c:v>15.970476190476191</c:v>
                </c:pt>
                <c:pt idx="9">
                  <c:v>15.957142857142859</c:v>
                </c:pt>
                <c:pt idx="10">
                  <c:v>15.953999999999999</c:v>
                </c:pt>
                <c:pt idx="11">
                  <c:v>15.921999999999997</c:v>
                </c:pt>
                <c:pt idx="12">
                  <c:v>15.906000000000001</c:v>
                </c:pt>
                <c:pt idx="13">
                  <c:v>15.879</c:v>
                </c:pt>
                <c:pt idx="14">
                  <c:v>15.847999999999999</c:v>
                </c:pt>
                <c:pt idx="15">
                  <c:v>15.817999999999998</c:v>
                </c:pt>
                <c:pt idx="16">
                  <c:v>15.800999999999998</c:v>
                </c:pt>
                <c:pt idx="17">
                  <c:v>15.773</c:v>
                </c:pt>
                <c:pt idx="18">
                  <c:v>15.741</c:v>
                </c:pt>
                <c:pt idx="19">
                  <c:v>15.709</c:v>
                </c:pt>
                <c:pt idx="20">
                  <c:v>15.675000000000001</c:v>
                </c:pt>
                <c:pt idx="21">
                  <c:v>15.65</c:v>
                </c:pt>
                <c:pt idx="22">
                  <c:v>15.634</c:v>
                </c:pt>
                <c:pt idx="23">
                  <c:v>15.609</c:v>
                </c:pt>
                <c:pt idx="24">
                  <c:v>15.593999999999999</c:v>
                </c:pt>
                <c:pt idx="25">
                  <c:v>15.597000000000005</c:v>
                </c:pt>
                <c:pt idx="26">
                  <c:v>15.598000000000004</c:v>
                </c:pt>
                <c:pt idx="27">
                  <c:v>15.599000000000004</c:v>
                </c:pt>
                <c:pt idx="28">
                  <c:v>15.615999999999996</c:v>
                </c:pt>
                <c:pt idx="29">
                  <c:v>15.616</c:v>
                </c:pt>
                <c:pt idx="30">
                  <c:v>15.609</c:v>
                </c:pt>
                <c:pt idx="31">
                  <c:v>15.603</c:v>
                </c:pt>
                <c:pt idx="32">
                  <c:v>15.584999999999999</c:v>
                </c:pt>
                <c:pt idx="33">
                  <c:v>15.581</c:v>
                </c:pt>
                <c:pt idx="34">
                  <c:v>15.574999999999999</c:v>
                </c:pt>
                <c:pt idx="35">
                  <c:v>15.568999999999999</c:v>
                </c:pt>
                <c:pt idx="36">
                  <c:v>15.55</c:v>
                </c:pt>
                <c:pt idx="37">
                  <c:v>15.543000000000001</c:v>
                </c:pt>
                <c:pt idx="38">
                  <c:v>15.521000000000004</c:v>
                </c:pt>
                <c:pt idx="39">
                  <c:v>15.494</c:v>
                </c:pt>
                <c:pt idx="40">
                  <c:v>15.506</c:v>
                </c:pt>
                <c:pt idx="41">
                  <c:v>15.508000000000001</c:v>
                </c:pt>
                <c:pt idx="42">
                  <c:v>15.488000000000003</c:v>
                </c:pt>
                <c:pt idx="43">
                  <c:v>15.478000000000003</c:v>
                </c:pt>
                <c:pt idx="44">
                  <c:v>15.457000000000003</c:v>
                </c:pt>
                <c:pt idx="45">
                  <c:v>15.434999999999997</c:v>
                </c:pt>
                <c:pt idx="46">
                  <c:v>15.398999999999997</c:v>
                </c:pt>
                <c:pt idx="47">
                  <c:v>15.361999999999998</c:v>
                </c:pt>
                <c:pt idx="48">
                  <c:v>15.331999999999999</c:v>
                </c:pt>
                <c:pt idx="49">
                  <c:v>15.305999999999997</c:v>
                </c:pt>
                <c:pt idx="50">
                  <c:v>15.291999999999998</c:v>
                </c:pt>
                <c:pt idx="51">
                  <c:v>15.324999999999999</c:v>
                </c:pt>
                <c:pt idx="52">
                  <c:v>15.331000000000003</c:v>
                </c:pt>
                <c:pt idx="53">
                  <c:v>15.337000000000003</c:v>
                </c:pt>
                <c:pt idx="54">
                  <c:v>15.327000000000002</c:v>
                </c:pt>
                <c:pt idx="55">
                  <c:v>15.332999999999998</c:v>
                </c:pt>
                <c:pt idx="56">
                  <c:v>15.339999999999998</c:v>
                </c:pt>
                <c:pt idx="57">
                  <c:v>15.342999999999998</c:v>
                </c:pt>
                <c:pt idx="58">
                  <c:v>15.366999999999996</c:v>
                </c:pt>
                <c:pt idx="59">
                  <c:v>15.391999999999999</c:v>
                </c:pt>
                <c:pt idx="60">
                  <c:v>15.382999999999999</c:v>
                </c:pt>
                <c:pt idx="61">
                  <c:v>15.370999999999999</c:v>
                </c:pt>
                <c:pt idx="62">
                  <c:v>15.371</c:v>
                </c:pt>
                <c:pt idx="63">
                  <c:v>15.375999999999999</c:v>
                </c:pt>
                <c:pt idx="64">
                  <c:v>15.376999999999999</c:v>
                </c:pt>
                <c:pt idx="65">
                  <c:v>15.379</c:v>
                </c:pt>
                <c:pt idx="66">
                  <c:v>15.378</c:v>
                </c:pt>
                <c:pt idx="67">
                  <c:v>15.375999999999999</c:v>
                </c:pt>
                <c:pt idx="68">
                  <c:v>15.376000000000001</c:v>
                </c:pt>
                <c:pt idx="69">
                  <c:v>15.376000000000001</c:v>
                </c:pt>
                <c:pt idx="70">
                  <c:v>15.373000000000001</c:v>
                </c:pt>
                <c:pt idx="71">
                  <c:v>15.358000000000001</c:v>
                </c:pt>
                <c:pt idx="72">
                  <c:v>15.358000000000004</c:v>
                </c:pt>
                <c:pt idx="73">
                  <c:v>15.356000000000003</c:v>
                </c:pt>
                <c:pt idx="74">
                  <c:v>15.385000000000002</c:v>
                </c:pt>
                <c:pt idx="75">
                  <c:v>15.396000000000001</c:v>
                </c:pt>
                <c:pt idx="76">
                  <c:v>15.417000000000002</c:v>
                </c:pt>
                <c:pt idx="77">
                  <c:v>15.436000000000002</c:v>
                </c:pt>
                <c:pt idx="78">
                  <c:v>15.459999999999999</c:v>
                </c:pt>
                <c:pt idx="79">
                  <c:v>15.462</c:v>
                </c:pt>
                <c:pt idx="80">
                  <c:v>15.456999999999999</c:v>
                </c:pt>
                <c:pt idx="81">
                  <c:v>15.456999999999999</c:v>
                </c:pt>
                <c:pt idx="82">
                  <c:v>15.457000000000003</c:v>
                </c:pt>
                <c:pt idx="83">
                  <c:v>15.456000000000003</c:v>
                </c:pt>
                <c:pt idx="84">
                  <c:v>15.451000000000002</c:v>
                </c:pt>
                <c:pt idx="85">
                  <c:v>15.454000000000002</c:v>
                </c:pt>
                <c:pt idx="86">
                  <c:v>15.453999999999999</c:v>
                </c:pt>
                <c:pt idx="87">
                  <c:v>15.464999999999998</c:v>
                </c:pt>
                <c:pt idx="88">
                  <c:v>15.475</c:v>
                </c:pt>
                <c:pt idx="89">
                  <c:v>15.485999999999999</c:v>
                </c:pt>
                <c:pt idx="90">
                  <c:v>15.487</c:v>
                </c:pt>
                <c:pt idx="91">
                  <c:v>15.468999999999999</c:v>
                </c:pt>
                <c:pt idx="92">
                  <c:v>15.456</c:v>
                </c:pt>
                <c:pt idx="93">
                  <c:v>15.444999999999999</c:v>
                </c:pt>
                <c:pt idx="94">
                  <c:v>15.421000000000001</c:v>
                </c:pt>
                <c:pt idx="95">
                  <c:v>15.401</c:v>
                </c:pt>
                <c:pt idx="96">
                  <c:v>15.392999999999997</c:v>
                </c:pt>
                <c:pt idx="97">
                  <c:v>15.370999999999999</c:v>
                </c:pt>
                <c:pt idx="98">
                  <c:v>15.348000000000003</c:v>
                </c:pt>
                <c:pt idx="99">
                  <c:v>15.38</c:v>
                </c:pt>
                <c:pt idx="100">
                  <c:v>15.385000000000002</c:v>
                </c:pt>
                <c:pt idx="101">
                  <c:v>15.395</c:v>
                </c:pt>
                <c:pt idx="102">
                  <c:v>15.407999999999998</c:v>
                </c:pt>
                <c:pt idx="103">
                  <c:v>15.419</c:v>
                </c:pt>
                <c:pt idx="104">
                  <c:v>15.424000000000001</c:v>
                </c:pt>
                <c:pt idx="105">
                  <c:v>15.424000000000001</c:v>
                </c:pt>
                <c:pt idx="106">
                  <c:v>15.426999999999998</c:v>
                </c:pt>
                <c:pt idx="107">
                  <c:v>15.426999999999996</c:v>
                </c:pt>
                <c:pt idx="108">
                  <c:v>15.417999999999997</c:v>
                </c:pt>
                <c:pt idx="109">
                  <c:v>15.402999999999997</c:v>
                </c:pt>
                <c:pt idx="110">
                  <c:v>15.401</c:v>
                </c:pt>
                <c:pt idx="111">
                  <c:v>15.398</c:v>
                </c:pt>
                <c:pt idx="112">
                  <c:v>15.422000000000001</c:v>
                </c:pt>
                <c:pt idx="113">
                  <c:v>15.428999999999997</c:v>
                </c:pt>
                <c:pt idx="114">
                  <c:v>15.431999999999999</c:v>
                </c:pt>
                <c:pt idx="115">
                  <c:v>15.434000000000001</c:v>
                </c:pt>
                <c:pt idx="116">
                  <c:v>15.433999999999997</c:v>
                </c:pt>
                <c:pt idx="117">
                  <c:v>15.443999999999994</c:v>
                </c:pt>
                <c:pt idx="118">
                  <c:v>15.451999999999995</c:v>
                </c:pt>
                <c:pt idx="119">
                  <c:v>15.424999999999994</c:v>
                </c:pt>
                <c:pt idx="120">
                  <c:v>15.439999999999994</c:v>
                </c:pt>
                <c:pt idx="121">
                  <c:v>15.439999999999998</c:v>
                </c:pt>
                <c:pt idx="122">
                  <c:v>15.433000000000002</c:v>
                </c:pt>
                <c:pt idx="123">
                  <c:v>15.423000000000002</c:v>
                </c:pt>
                <c:pt idx="124">
                  <c:v>15.429000000000002</c:v>
                </c:pt>
                <c:pt idx="125">
                  <c:v>15.429999999999998</c:v>
                </c:pt>
                <c:pt idx="126">
                  <c:v>15.435999999999998</c:v>
                </c:pt>
                <c:pt idx="127">
                  <c:v>15.447999999999997</c:v>
                </c:pt>
                <c:pt idx="128">
                  <c:v>15.466999999999995</c:v>
                </c:pt>
                <c:pt idx="129">
                  <c:v>15.494</c:v>
                </c:pt>
                <c:pt idx="130">
                  <c:v>15.509999999999996</c:v>
                </c:pt>
                <c:pt idx="131">
                  <c:v>15.526</c:v>
                </c:pt>
                <c:pt idx="132">
                  <c:v>15.516999999999996</c:v>
                </c:pt>
                <c:pt idx="133">
                  <c:v>15.535</c:v>
                </c:pt>
                <c:pt idx="134">
                  <c:v>15.544999999999998</c:v>
                </c:pt>
                <c:pt idx="135">
                  <c:v>15.571999999999999</c:v>
                </c:pt>
                <c:pt idx="136">
                  <c:v>15.577999999999999</c:v>
                </c:pt>
                <c:pt idx="137">
                  <c:v>15.597</c:v>
                </c:pt>
                <c:pt idx="138">
                  <c:v>15.61</c:v>
                </c:pt>
                <c:pt idx="139">
                  <c:v>15.612</c:v>
                </c:pt>
                <c:pt idx="140">
                  <c:v>15.604999999999999</c:v>
                </c:pt>
                <c:pt idx="141">
                  <c:v>15.592000000000002</c:v>
                </c:pt>
                <c:pt idx="142">
                  <c:v>15.577999999999999</c:v>
                </c:pt>
                <c:pt idx="143">
                  <c:v>15.562000000000001</c:v>
                </c:pt>
                <c:pt idx="144">
                  <c:v>15.541999999999998</c:v>
                </c:pt>
                <c:pt idx="145">
                  <c:v>15.521999999999997</c:v>
                </c:pt>
                <c:pt idx="146">
                  <c:v>15.498999999999999</c:v>
                </c:pt>
                <c:pt idx="147">
                  <c:v>15.465</c:v>
                </c:pt>
                <c:pt idx="148">
                  <c:v>15.463000000000003</c:v>
                </c:pt>
                <c:pt idx="149">
                  <c:v>15.475000000000003</c:v>
                </c:pt>
                <c:pt idx="150">
                  <c:v>15.485000000000005</c:v>
                </c:pt>
                <c:pt idx="151">
                  <c:v>15.499000000000004</c:v>
                </c:pt>
                <c:pt idx="152">
                  <c:v>15.492000000000004</c:v>
                </c:pt>
                <c:pt idx="153">
                  <c:v>15.48</c:v>
                </c:pt>
                <c:pt idx="154">
                  <c:v>15.474</c:v>
                </c:pt>
                <c:pt idx="155">
                  <c:v>15.452000000000002</c:v>
                </c:pt>
                <c:pt idx="156">
                  <c:v>15.430999999999997</c:v>
                </c:pt>
                <c:pt idx="157">
                  <c:v>15.401</c:v>
                </c:pt>
                <c:pt idx="158">
                  <c:v>15.369523809523807</c:v>
                </c:pt>
                <c:pt idx="159">
                  <c:v>15.380000000000004</c:v>
                </c:pt>
                <c:pt idx="160">
                  <c:v>15.402857142857147</c:v>
                </c:pt>
                <c:pt idx="161">
                  <c:v>15.361904761904766</c:v>
                </c:pt>
                <c:pt idx="162">
                  <c:v>15.396190476190482</c:v>
                </c:pt>
                <c:pt idx="163">
                  <c:v>15.387619047619049</c:v>
                </c:pt>
                <c:pt idx="164">
                  <c:v>15.416190476190476</c:v>
                </c:pt>
                <c:pt idx="165">
                  <c:v>15.429523809523811</c:v>
                </c:pt>
                <c:pt idx="166">
                  <c:v>15.41047619047619</c:v>
                </c:pt>
                <c:pt idx="167">
                  <c:v>15.415238095238093</c:v>
                </c:pt>
                <c:pt idx="168">
                  <c:v>15.406666666666665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01-454C-87E3-38C0D6BB7248}"/>
            </c:ext>
          </c:extLst>
        </c:ser>
        <c:ser>
          <c:idx val="2"/>
          <c:order val="2"/>
          <c:tx>
            <c:strRef>
              <c:f>Sheet1!$F$26</c:f>
              <c:strCache>
                <c:ptCount val="1"/>
                <c:pt idx="0">
                  <c:v>LBB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Sheet1!$F$27:$F$195</c:f>
              <c:numCache>
                <c:formatCode>General</c:formatCode>
                <c:ptCount val="169"/>
                <c:pt idx="0">
                  <c:v>16.00481046543662</c:v>
                </c:pt>
                <c:pt idx="1">
                  <c:v>15.999567803442265</c:v>
                </c:pt>
                <c:pt idx="2">
                  <c:v>15.977276413442251</c:v>
                </c:pt>
                <c:pt idx="3">
                  <c:v>15.992967721236356</c:v>
                </c:pt>
                <c:pt idx="4">
                  <c:v>15.898391901095437</c:v>
                </c:pt>
                <c:pt idx="5">
                  <c:v>15.891358116954866</c:v>
                </c:pt>
                <c:pt idx="6">
                  <c:v>15.890483492296758</c:v>
                </c:pt>
                <c:pt idx="7">
                  <c:v>15.806103479045726</c:v>
                </c:pt>
                <c:pt idx="8">
                  <c:v>15.788682656793364</c:v>
                </c:pt>
                <c:pt idx="9">
                  <c:v>15.758158770676964</c:v>
                </c:pt>
                <c:pt idx="10">
                  <c:v>15.707221646906468</c:v>
                </c:pt>
                <c:pt idx="11">
                  <c:v>15.673584577326158</c:v>
                </c:pt>
                <c:pt idx="12">
                  <c:v>15.62708145354682</c:v>
                </c:pt>
                <c:pt idx="13">
                  <c:v>15.575520914138131</c:v>
                </c:pt>
                <c:pt idx="14">
                  <c:v>15.530672268957014</c:v>
                </c:pt>
                <c:pt idx="15">
                  <c:v>15.506256515705619</c:v>
                </c:pt>
                <c:pt idx="16">
                  <c:v>15.479663900426843</c:v>
                </c:pt>
                <c:pt idx="17">
                  <c:v>15.436851884497985</c:v>
                </c:pt>
                <c:pt idx="18">
                  <c:v>15.394682226849387</c:v>
                </c:pt>
                <c:pt idx="19">
                  <c:v>15.356137420516145</c:v>
                </c:pt>
                <c:pt idx="20">
                  <c:v>15.333453191755183</c:v>
                </c:pt>
                <c:pt idx="21">
                  <c:v>15.324442700042596</c:v>
                </c:pt>
                <c:pt idx="22">
                  <c:v>15.326852550791065</c:v>
                </c:pt>
                <c:pt idx="23">
                  <c:v>15.32354208327282</c:v>
                </c:pt>
                <c:pt idx="24">
                  <c:v>15.332761922122112</c:v>
                </c:pt>
                <c:pt idx="25">
                  <c:v>15.307522309437617</c:v>
                </c:pt>
                <c:pt idx="26">
                  <c:v>15.306003044155903</c:v>
                </c:pt>
                <c:pt idx="27">
                  <c:v>15.317891084769231</c:v>
                </c:pt>
                <c:pt idx="28">
                  <c:v>15.330075379008923</c:v>
                </c:pt>
                <c:pt idx="29">
                  <c:v>15.334891084769227</c:v>
                </c:pt>
                <c:pt idx="30">
                  <c:v>15.317936051318233</c:v>
                </c:pt>
                <c:pt idx="31">
                  <c:v>15.306100465926042</c:v>
                </c:pt>
                <c:pt idx="32">
                  <c:v>15.284558842884518</c:v>
                </c:pt>
                <c:pt idx="33">
                  <c:v>15.274200028972912</c:v>
                </c:pt>
                <c:pt idx="34">
                  <c:v>15.262174880235689</c:v>
                </c:pt>
                <c:pt idx="35">
                  <c:v>15.247697096876552</c:v>
                </c:pt>
                <c:pt idx="36">
                  <c:v>15.223755374671773</c:v>
                </c:pt>
                <c:pt idx="37">
                  <c:v>15.168402141549695</c:v>
                </c:pt>
                <c:pt idx="38">
                  <c:v>15.094737691608147</c:v>
                </c:pt>
                <c:pt idx="39">
                  <c:v>15.068840160776103</c:v>
                </c:pt>
                <c:pt idx="40">
                  <c:v>15.083608922653163</c:v>
                </c:pt>
                <c:pt idx="41">
                  <c:v>15.081087570780351</c:v>
                </c:pt>
                <c:pt idx="42">
                  <c:v>15.062088167704998</c:v>
                </c:pt>
                <c:pt idx="43">
                  <c:v>15.04806667183543</c:v>
                </c:pt>
                <c:pt idx="44">
                  <c:v>15.029941846270717</c:v>
                </c:pt>
                <c:pt idx="45">
                  <c:v>15.01454944801241</c:v>
                </c:pt>
                <c:pt idx="46">
                  <c:v>15.019845384806905</c:v>
                </c:pt>
                <c:pt idx="47">
                  <c:v>15.037016581619579</c:v>
                </c:pt>
                <c:pt idx="48">
                  <c:v>15.054192712678574</c:v>
                </c:pt>
                <c:pt idx="49">
                  <c:v>15.0703203681077</c:v>
                </c:pt>
                <c:pt idx="50">
                  <c:v>14.985867131243092</c:v>
                </c:pt>
                <c:pt idx="51">
                  <c:v>15.015431124159923</c:v>
                </c:pt>
                <c:pt idx="52">
                  <c:v>15.017476653359136</c:v>
                </c:pt>
                <c:pt idx="53">
                  <c:v>15.018280339134499</c:v>
                </c:pt>
                <c:pt idx="54">
                  <c:v>15.005846523363743</c:v>
                </c:pt>
                <c:pt idx="55">
                  <c:v>15.010272732963436</c:v>
                </c:pt>
                <c:pt idx="56">
                  <c:v>15.017272732963436</c:v>
                </c:pt>
                <c:pt idx="57">
                  <c:v>15.019898364803476</c:v>
                </c:pt>
                <c:pt idx="58">
                  <c:v>15.072330316757517</c:v>
                </c:pt>
                <c:pt idx="59">
                  <c:v>15.151681692564031</c:v>
                </c:pt>
                <c:pt idx="60">
                  <c:v>15.148659317327196</c:v>
                </c:pt>
                <c:pt idx="61">
                  <c:v>15.141163343026205</c:v>
                </c:pt>
                <c:pt idx="62">
                  <c:v>15.141976954095105</c:v>
                </c:pt>
                <c:pt idx="63">
                  <c:v>15.146976954095104</c:v>
                </c:pt>
                <c:pt idx="64">
                  <c:v>15.149175506145628</c:v>
                </c:pt>
                <c:pt idx="65">
                  <c:v>15.151175506145629</c:v>
                </c:pt>
                <c:pt idx="66">
                  <c:v>15.147661119217792</c:v>
                </c:pt>
                <c:pt idx="67">
                  <c:v>15.146325834665232</c:v>
                </c:pt>
                <c:pt idx="68">
                  <c:v>15.145661119217793</c:v>
                </c:pt>
                <c:pt idx="69">
                  <c:v>15.142761924206189</c:v>
                </c:pt>
                <c:pt idx="70">
                  <c:v>15.121731219607371</c:v>
                </c:pt>
                <c:pt idx="71">
                  <c:v>15.191200053290711</c:v>
                </c:pt>
                <c:pt idx="72">
                  <c:v>15.192398067644129</c:v>
                </c:pt>
                <c:pt idx="73">
                  <c:v>15.162717247996049</c:v>
                </c:pt>
                <c:pt idx="74">
                  <c:v>15.18560536059808</c:v>
                </c:pt>
                <c:pt idx="75">
                  <c:v>15.1540670432629</c:v>
                </c:pt>
                <c:pt idx="76">
                  <c:v>15.154431490421603</c:v>
                </c:pt>
                <c:pt idx="77">
                  <c:v>15.142424342516847</c:v>
                </c:pt>
                <c:pt idx="78">
                  <c:v>15.165457039541673</c:v>
                </c:pt>
                <c:pt idx="79">
                  <c:v>15.16654103499809</c:v>
                </c:pt>
                <c:pt idx="80">
                  <c:v>15.158339285773602</c:v>
                </c:pt>
                <c:pt idx="81">
                  <c:v>15.158339285773602</c:v>
                </c:pt>
                <c:pt idx="82">
                  <c:v>15.161138170386545</c:v>
                </c:pt>
                <c:pt idx="83">
                  <c:v>15.150908392627908</c:v>
                </c:pt>
                <c:pt idx="84">
                  <c:v>15.148506657557194</c:v>
                </c:pt>
                <c:pt idx="85">
                  <c:v>15.149701900542688</c:v>
                </c:pt>
                <c:pt idx="86">
                  <c:v>15.154151149187905</c:v>
                </c:pt>
                <c:pt idx="87">
                  <c:v>15.172565011973219</c:v>
                </c:pt>
                <c:pt idx="88">
                  <c:v>15.187160538571314</c:v>
                </c:pt>
                <c:pt idx="89">
                  <c:v>15.195382267115946</c:v>
                </c:pt>
                <c:pt idx="90">
                  <c:v>15.204081872856003</c:v>
                </c:pt>
                <c:pt idx="91">
                  <c:v>15.184727829946956</c:v>
                </c:pt>
                <c:pt idx="92">
                  <c:v>15.164612514567514</c:v>
                </c:pt>
                <c:pt idx="93">
                  <c:v>15.147305152509784</c:v>
                </c:pt>
                <c:pt idx="94">
                  <c:v>15.133871689541651</c:v>
                </c:pt>
                <c:pt idx="95">
                  <c:v>15.112087864183206</c:v>
                </c:pt>
                <c:pt idx="96">
                  <c:v>15.138916898983377</c:v>
                </c:pt>
                <c:pt idx="97">
                  <c:v>15.144458858286427</c:v>
                </c:pt>
                <c:pt idx="98">
                  <c:v>15.095116188295453</c:v>
                </c:pt>
                <c:pt idx="99">
                  <c:v>15.127116188295451</c:v>
                </c:pt>
                <c:pt idx="100">
                  <c:v>15.131063875048163</c:v>
                </c:pt>
                <c:pt idx="101">
                  <c:v>15.137898204336622</c:v>
                </c:pt>
                <c:pt idx="102">
                  <c:v>15.146578246250748</c:v>
                </c:pt>
                <c:pt idx="103">
                  <c:v>15.155438073901239</c:v>
                </c:pt>
                <c:pt idx="104">
                  <c:v>15.168702352363191</c:v>
                </c:pt>
                <c:pt idx="105">
                  <c:v>15.167812568614307</c:v>
                </c:pt>
                <c:pt idx="106">
                  <c:v>15.174397545538447</c:v>
                </c:pt>
                <c:pt idx="107">
                  <c:v>15.172581272527177</c:v>
                </c:pt>
                <c:pt idx="108">
                  <c:v>15.156551045984964</c:v>
                </c:pt>
                <c:pt idx="109">
                  <c:v>15.136200033316674</c:v>
                </c:pt>
                <c:pt idx="110">
                  <c:v>15.136085758111129</c:v>
                </c:pt>
                <c:pt idx="111">
                  <c:v>15.118737479142732</c:v>
                </c:pt>
                <c:pt idx="112">
                  <c:v>15.149021368357644</c:v>
                </c:pt>
                <c:pt idx="113">
                  <c:v>15.159145718334255</c:v>
                </c:pt>
                <c:pt idx="114">
                  <c:v>15.166181348367809</c:v>
                </c:pt>
                <c:pt idx="115">
                  <c:v>15.160429371297122</c:v>
                </c:pt>
                <c:pt idx="116">
                  <c:v>15.170924176540508</c:v>
                </c:pt>
                <c:pt idx="117">
                  <c:v>15.180397605810901</c:v>
                </c:pt>
                <c:pt idx="118">
                  <c:v>15.188559515470967</c:v>
                </c:pt>
                <c:pt idx="119">
                  <c:v>15.208819005871874</c:v>
                </c:pt>
                <c:pt idx="120">
                  <c:v>15.2234082180691</c:v>
                </c:pt>
                <c:pt idx="121">
                  <c:v>15.224065853660065</c:v>
                </c:pt>
                <c:pt idx="122">
                  <c:v>15.220183960504228</c:v>
                </c:pt>
                <c:pt idx="123">
                  <c:v>15.21682855031148</c:v>
                </c:pt>
                <c:pt idx="124">
                  <c:v>15.226263170040021</c:v>
                </c:pt>
                <c:pt idx="125">
                  <c:v>15.227614229749221</c:v>
                </c:pt>
                <c:pt idx="126">
                  <c:v>15.220742015246818</c:v>
                </c:pt>
                <c:pt idx="127">
                  <c:v>15.220035090419596</c:v>
                </c:pt>
                <c:pt idx="128">
                  <c:v>15.228941183738131</c:v>
                </c:pt>
                <c:pt idx="129">
                  <c:v>15.272530162575377</c:v>
                </c:pt>
                <c:pt idx="130">
                  <c:v>15.306956490705396</c:v>
                </c:pt>
                <c:pt idx="131">
                  <c:v>15.336657277228127</c:v>
                </c:pt>
                <c:pt idx="132">
                  <c:v>15.323882879520681</c:v>
                </c:pt>
                <c:pt idx="133">
                  <c:v>15.34720341974478</c:v>
                </c:pt>
                <c:pt idx="134">
                  <c:v>15.34814472321017</c:v>
                </c:pt>
                <c:pt idx="135">
                  <c:v>15.375596786629592</c:v>
                </c:pt>
                <c:pt idx="136">
                  <c:v>15.362436655352642</c:v>
                </c:pt>
                <c:pt idx="137">
                  <c:v>15.370749401474088</c:v>
                </c:pt>
                <c:pt idx="138">
                  <c:v>15.381559878986003</c:v>
                </c:pt>
                <c:pt idx="139">
                  <c:v>15.387563916547371</c:v>
                </c:pt>
                <c:pt idx="140">
                  <c:v>15.357186450016235</c:v>
                </c:pt>
                <c:pt idx="141">
                  <c:v>15.311251793317297</c:v>
                </c:pt>
                <c:pt idx="142">
                  <c:v>15.263921453560844</c:v>
                </c:pt>
                <c:pt idx="143">
                  <c:v>15.212107318040392</c:v>
                </c:pt>
                <c:pt idx="144">
                  <c:v>15.158314943968072</c:v>
                </c:pt>
                <c:pt idx="145">
                  <c:v>15.109553639851189</c:v>
                </c:pt>
                <c:pt idx="146">
                  <c:v>15.062684110356319</c:v>
                </c:pt>
                <c:pt idx="147">
                  <c:v>15.030439685812583</c:v>
                </c:pt>
                <c:pt idx="148">
                  <c:v>15.007358815635717</c:v>
                </c:pt>
                <c:pt idx="149">
                  <c:v>15.020354839218298</c:v>
                </c:pt>
                <c:pt idx="150">
                  <c:v>15.015465952009636</c:v>
                </c:pt>
                <c:pt idx="151">
                  <c:v>15.029091261815426</c:v>
                </c:pt>
                <c:pt idx="152">
                  <c:v>15.022159365079798</c:v>
                </c:pt>
                <c:pt idx="153">
                  <c:v>15.015639986409013</c:v>
                </c:pt>
                <c:pt idx="154">
                  <c:v>15.009425642837087</c:v>
                </c:pt>
                <c:pt idx="155">
                  <c:v>15.00336552864399</c:v>
                </c:pt>
                <c:pt idx="156">
                  <c:v>14.995859154347057</c:v>
                </c:pt>
                <c:pt idx="157">
                  <c:v>14.990493537742028</c:v>
                </c:pt>
                <c:pt idx="158">
                  <c:v>14.982737621099821</c:v>
                </c:pt>
                <c:pt idx="159">
                  <c:v>14.980921060440423</c:v>
                </c:pt>
                <c:pt idx="160">
                  <c:v>14.965714908185944</c:v>
                </c:pt>
                <c:pt idx="161">
                  <c:v>14.983778386792482</c:v>
                </c:pt>
                <c:pt idx="162">
                  <c:v>15.017894883359221</c:v>
                </c:pt>
                <c:pt idx="163">
                  <c:v>15.027436377914418</c:v>
                </c:pt>
                <c:pt idx="164">
                  <c:v>15.07548793404818</c:v>
                </c:pt>
                <c:pt idx="165">
                  <c:v>15.113729220871278</c:v>
                </c:pt>
                <c:pt idx="166">
                  <c:v>15.104285255128834</c:v>
                </c:pt>
                <c:pt idx="167">
                  <c:v>15.124265778876401</c:v>
                </c:pt>
                <c:pt idx="168">
                  <c:v>15.131056636208974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01-454C-87E3-38C0D6BB7248}"/>
            </c:ext>
          </c:extLst>
        </c:ser>
        <c:ser>
          <c:idx val="3"/>
          <c:order val="3"/>
          <c:tx>
            <c:strRef>
              <c:f>Sheet1!$G$26</c:f>
              <c:strCache>
                <c:ptCount val="1"/>
                <c:pt idx="0">
                  <c:v>UBB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Sheet1!$G$27:$G$195</c:f>
              <c:numCache>
                <c:formatCode>General</c:formatCode>
                <c:ptCount val="169"/>
                <c:pt idx="0">
                  <c:v>16.122808582182422</c:v>
                </c:pt>
                <c:pt idx="1">
                  <c:v>16.069003625129152</c:v>
                </c:pt>
                <c:pt idx="2">
                  <c:v>16.057009300843458</c:v>
                </c:pt>
                <c:pt idx="3">
                  <c:v>16.094651326382689</c:v>
                </c:pt>
                <c:pt idx="4">
                  <c:v>16.137798575095047</c:v>
                </c:pt>
                <c:pt idx="5">
                  <c:v>16.120070454473709</c:v>
                </c:pt>
                <c:pt idx="6">
                  <c:v>16.119040317227064</c:v>
                </c:pt>
                <c:pt idx="7">
                  <c:v>16.153896520954273</c:v>
                </c:pt>
                <c:pt idx="8">
                  <c:v>16.152269724159016</c:v>
                </c:pt>
                <c:pt idx="9">
                  <c:v>16.156126943608754</c:v>
                </c:pt>
                <c:pt idx="10">
                  <c:v>16.200778353093529</c:v>
                </c:pt>
                <c:pt idx="11">
                  <c:v>16.170415422673837</c:v>
                </c:pt>
                <c:pt idx="12">
                  <c:v>16.184918546453183</c:v>
                </c:pt>
                <c:pt idx="13">
                  <c:v>16.182479085861868</c:v>
                </c:pt>
                <c:pt idx="14">
                  <c:v>16.165327731042982</c:v>
                </c:pt>
                <c:pt idx="15">
                  <c:v>16.129743484294377</c:v>
                </c:pt>
                <c:pt idx="16">
                  <c:v>16.122336099573154</c:v>
                </c:pt>
                <c:pt idx="17">
                  <c:v>16.109148115502013</c:v>
                </c:pt>
                <c:pt idx="18">
                  <c:v>16.087317773150613</c:v>
                </c:pt>
                <c:pt idx="19">
                  <c:v>16.061862579483854</c:v>
                </c:pt>
                <c:pt idx="20">
                  <c:v>16.016546808244819</c:v>
                </c:pt>
                <c:pt idx="21">
                  <c:v>15.975557299957405</c:v>
                </c:pt>
                <c:pt idx="22">
                  <c:v>15.941147449208936</c:v>
                </c:pt>
                <c:pt idx="23">
                  <c:v>15.89445791672718</c:v>
                </c:pt>
                <c:pt idx="24">
                  <c:v>15.855238077877887</c:v>
                </c:pt>
                <c:pt idx="25">
                  <c:v>15.886477690562392</c:v>
                </c:pt>
                <c:pt idx="26">
                  <c:v>15.889996955844106</c:v>
                </c:pt>
                <c:pt idx="27">
                  <c:v>15.880108915230776</c:v>
                </c:pt>
                <c:pt idx="28">
                  <c:v>15.901924620991069</c:v>
                </c:pt>
                <c:pt idx="29">
                  <c:v>15.897108915230772</c:v>
                </c:pt>
                <c:pt idx="30">
                  <c:v>15.900063948681767</c:v>
                </c:pt>
                <c:pt idx="31">
                  <c:v>15.899899534073958</c:v>
                </c:pt>
                <c:pt idx="32">
                  <c:v>15.88544115711548</c:v>
                </c:pt>
                <c:pt idx="33">
                  <c:v>15.887799971027087</c:v>
                </c:pt>
                <c:pt idx="34">
                  <c:v>15.88782511976431</c:v>
                </c:pt>
                <c:pt idx="35">
                  <c:v>15.890302903123446</c:v>
                </c:pt>
                <c:pt idx="36">
                  <c:v>15.876244625328228</c:v>
                </c:pt>
                <c:pt idx="37">
                  <c:v>15.917597858450307</c:v>
                </c:pt>
                <c:pt idx="38">
                  <c:v>15.947262308391862</c:v>
                </c:pt>
                <c:pt idx="39">
                  <c:v>15.919159839223896</c:v>
                </c:pt>
                <c:pt idx="40">
                  <c:v>15.928391077346838</c:v>
                </c:pt>
                <c:pt idx="41">
                  <c:v>15.934912429219651</c:v>
                </c:pt>
                <c:pt idx="42">
                  <c:v>15.913911832295009</c:v>
                </c:pt>
                <c:pt idx="43">
                  <c:v>15.907933328164576</c:v>
                </c:pt>
                <c:pt idx="44">
                  <c:v>15.884058153729288</c:v>
                </c:pt>
                <c:pt idx="45">
                  <c:v>15.855450551987584</c:v>
                </c:pt>
                <c:pt idx="46">
                  <c:v>15.77815461519309</c:v>
                </c:pt>
                <c:pt idx="47">
                  <c:v>15.686983418380418</c:v>
                </c:pt>
                <c:pt idx="48">
                  <c:v>15.609807287321424</c:v>
                </c:pt>
                <c:pt idx="49">
                  <c:v>15.541679631892295</c:v>
                </c:pt>
                <c:pt idx="50">
                  <c:v>15.598132868756904</c:v>
                </c:pt>
                <c:pt idx="51">
                  <c:v>15.634568875840076</c:v>
                </c:pt>
                <c:pt idx="52">
                  <c:v>15.64452334664087</c:v>
                </c:pt>
                <c:pt idx="53">
                  <c:v>15.655719660865508</c:v>
                </c:pt>
                <c:pt idx="54">
                  <c:v>15.64815347663626</c:v>
                </c:pt>
                <c:pt idx="55">
                  <c:v>15.655727267036561</c:v>
                </c:pt>
                <c:pt idx="56">
                  <c:v>15.66272726703656</c:v>
                </c:pt>
                <c:pt idx="57">
                  <c:v>15.666101635196521</c:v>
                </c:pt>
                <c:pt idx="58">
                  <c:v>15.661669683242474</c:v>
                </c:pt>
                <c:pt idx="59">
                  <c:v>15.632318307435968</c:v>
                </c:pt>
                <c:pt idx="60">
                  <c:v>15.617340682672802</c:v>
                </c:pt>
                <c:pt idx="61">
                  <c:v>15.600836656973792</c:v>
                </c:pt>
                <c:pt idx="62">
                  <c:v>15.600023045904896</c:v>
                </c:pt>
                <c:pt idx="63">
                  <c:v>15.605023045904895</c:v>
                </c:pt>
                <c:pt idx="64">
                  <c:v>15.60482449385437</c:v>
                </c:pt>
                <c:pt idx="65">
                  <c:v>15.60682449385437</c:v>
                </c:pt>
                <c:pt idx="66">
                  <c:v>15.608338880782208</c:v>
                </c:pt>
                <c:pt idx="67">
                  <c:v>15.605674165334767</c:v>
                </c:pt>
                <c:pt idx="68">
                  <c:v>15.606338880782209</c:v>
                </c:pt>
                <c:pt idx="69">
                  <c:v>15.609238075793813</c:v>
                </c:pt>
                <c:pt idx="70">
                  <c:v>15.624268780392631</c:v>
                </c:pt>
                <c:pt idx="71">
                  <c:v>15.52479994670929</c:v>
                </c:pt>
                <c:pt idx="72">
                  <c:v>15.523601932355879</c:v>
                </c:pt>
                <c:pt idx="73">
                  <c:v>15.549282752003958</c:v>
                </c:pt>
                <c:pt idx="74">
                  <c:v>15.584394639401923</c:v>
                </c:pt>
                <c:pt idx="75">
                  <c:v>15.637932956737101</c:v>
                </c:pt>
                <c:pt idx="76">
                  <c:v>15.679568509578401</c:v>
                </c:pt>
                <c:pt idx="77">
                  <c:v>15.729575657483156</c:v>
                </c:pt>
                <c:pt idx="78">
                  <c:v>15.754542960458325</c:v>
                </c:pt>
                <c:pt idx="79">
                  <c:v>15.757458965001909</c:v>
                </c:pt>
                <c:pt idx="80">
                  <c:v>15.755660714226396</c:v>
                </c:pt>
                <c:pt idx="81">
                  <c:v>15.755660714226396</c:v>
                </c:pt>
                <c:pt idx="82">
                  <c:v>15.75286182961346</c:v>
                </c:pt>
                <c:pt idx="83">
                  <c:v>15.761091607372098</c:v>
                </c:pt>
                <c:pt idx="84">
                  <c:v>15.753493342442811</c:v>
                </c:pt>
                <c:pt idx="85">
                  <c:v>15.758298099457317</c:v>
                </c:pt>
                <c:pt idx="86">
                  <c:v>15.753848850812092</c:v>
                </c:pt>
                <c:pt idx="87">
                  <c:v>15.757434988026777</c:v>
                </c:pt>
                <c:pt idx="88">
                  <c:v>15.762839461428685</c:v>
                </c:pt>
                <c:pt idx="89">
                  <c:v>15.776617732884052</c:v>
                </c:pt>
                <c:pt idx="90">
                  <c:v>15.769918127143997</c:v>
                </c:pt>
                <c:pt idx="91">
                  <c:v>15.753272170053043</c:v>
                </c:pt>
                <c:pt idx="92">
                  <c:v>15.747387485432485</c:v>
                </c:pt>
                <c:pt idx="93">
                  <c:v>15.742694847490213</c:v>
                </c:pt>
                <c:pt idx="94">
                  <c:v>15.708128310458351</c:v>
                </c:pt>
                <c:pt idx="95">
                  <c:v>15.689912135816794</c:v>
                </c:pt>
                <c:pt idx="96">
                  <c:v>15.647083101016618</c:v>
                </c:pt>
                <c:pt idx="97">
                  <c:v>15.59754114171357</c:v>
                </c:pt>
                <c:pt idx="98">
                  <c:v>15.600883811704552</c:v>
                </c:pt>
                <c:pt idx="99">
                  <c:v>15.63288381170455</c:v>
                </c:pt>
                <c:pt idx="100">
                  <c:v>15.63893612495184</c:v>
                </c:pt>
                <c:pt idx="101">
                  <c:v>15.652101795663377</c:v>
                </c:pt>
                <c:pt idx="102">
                  <c:v>15.669421753749248</c:v>
                </c:pt>
                <c:pt idx="103">
                  <c:v>15.682561926098762</c:v>
                </c:pt>
                <c:pt idx="104">
                  <c:v>15.679297647636812</c:v>
                </c:pt>
                <c:pt idx="105">
                  <c:v>15.680187431385695</c:v>
                </c:pt>
                <c:pt idx="106">
                  <c:v>15.679602454461548</c:v>
                </c:pt>
                <c:pt idx="107">
                  <c:v>15.681418727472815</c:v>
                </c:pt>
                <c:pt idx="108">
                  <c:v>15.679448954015031</c:v>
                </c:pt>
                <c:pt idx="109">
                  <c:v>15.669799966683319</c:v>
                </c:pt>
                <c:pt idx="110">
                  <c:v>15.665914241888871</c:v>
                </c:pt>
                <c:pt idx="111">
                  <c:v>15.677262520857267</c:v>
                </c:pt>
                <c:pt idx="112">
                  <c:v>15.694978631642357</c:v>
                </c:pt>
                <c:pt idx="113">
                  <c:v>15.698854281665739</c:v>
                </c:pt>
                <c:pt idx="114">
                  <c:v>15.697818651632188</c:v>
                </c:pt>
                <c:pt idx="115">
                  <c:v>15.70757062870288</c:v>
                </c:pt>
                <c:pt idx="116">
                  <c:v>15.697075823459487</c:v>
                </c:pt>
                <c:pt idx="117">
                  <c:v>15.707602394189086</c:v>
                </c:pt>
                <c:pt idx="118">
                  <c:v>15.715440484529022</c:v>
                </c:pt>
                <c:pt idx="119">
                  <c:v>15.641180994128113</c:v>
                </c:pt>
                <c:pt idx="120">
                  <c:v>15.656591781930889</c:v>
                </c:pt>
                <c:pt idx="121">
                  <c:v>15.655934146339931</c:v>
                </c:pt>
                <c:pt idx="122">
                  <c:v>15.645816039495775</c:v>
                </c:pt>
                <c:pt idx="123">
                  <c:v>15.629171449688524</c:v>
                </c:pt>
                <c:pt idx="124">
                  <c:v>15.631736829959983</c:v>
                </c:pt>
                <c:pt idx="125">
                  <c:v>15.632385770250774</c:v>
                </c:pt>
                <c:pt idx="126">
                  <c:v>15.651257984753178</c:v>
                </c:pt>
                <c:pt idx="127">
                  <c:v>15.675964909580397</c:v>
                </c:pt>
                <c:pt idx="128">
                  <c:v>15.705058816261859</c:v>
                </c:pt>
                <c:pt idx="129">
                  <c:v>15.715469837424623</c:v>
                </c:pt>
                <c:pt idx="130">
                  <c:v>15.713043509294597</c:v>
                </c:pt>
                <c:pt idx="131">
                  <c:v>15.715342722771872</c:v>
                </c:pt>
                <c:pt idx="132">
                  <c:v>15.71011712047931</c:v>
                </c:pt>
                <c:pt idx="133">
                  <c:v>15.722796580255221</c:v>
                </c:pt>
                <c:pt idx="134">
                  <c:v>15.741855276789826</c:v>
                </c:pt>
                <c:pt idx="135">
                  <c:v>15.768403213370407</c:v>
                </c:pt>
                <c:pt idx="136">
                  <c:v>15.793563344647357</c:v>
                </c:pt>
                <c:pt idx="137">
                  <c:v>15.823250598525911</c:v>
                </c:pt>
                <c:pt idx="138">
                  <c:v>15.838440121013996</c:v>
                </c:pt>
                <c:pt idx="139">
                  <c:v>15.836436083452629</c:v>
                </c:pt>
                <c:pt idx="140">
                  <c:v>15.852813549983763</c:v>
                </c:pt>
                <c:pt idx="141">
                  <c:v>15.872748206682708</c:v>
                </c:pt>
                <c:pt idx="142">
                  <c:v>15.892078546439155</c:v>
                </c:pt>
                <c:pt idx="143">
                  <c:v>15.91189268195961</c:v>
                </c:pt>
                <c:pt idx="144">
                  <c:v>15.925685056031924</c:v>
                </c:pt>
                <c:pt idx="145">
                  <c:v>15.934446360148804</c:v>
                </c:pt>
                <c:pt idx="146">
                  <c:v>15.935315889643679</c:v>
                </c:pt>
                <c:pt idx="147">
                  <c:v>15.899560314187417</c:v>
                </c:pt>
                <c:pt idx="148">
                  <c:v>15.918641184364288</c:v>
                </c:pt>
                <c:pt idx="149">
                  <c:v>15.929645160781709</c:v>
                </c:pt>
                <c:pt idx="150">
                  <c:v>15.954534047990373</c:v>
                </c:pt>
                <c:pt idx="151">
                  <c:v>15.968908738184583</c:v>
                </c:pt>
                <c:pt idx="152">
                  <c:v>15.961840634920211</c:v>
                </c:pt>
                <c:pt idx="153">
                  <c:v>15.944360013590988</c:v>
                </c:pt>
                <c:pt idx="154">
                  <c:v>15.938574357162913</c:v>
                </c:pt>
                <c:pt idx="155">
                  <c:v>15.900634471356014</c:v>
                </c:pt>
                <c:pt idx="156">
                  <c:v>15.866140845652938</c:v>
                </c:pt>
                <c:pt idx="157">
                  <c:v>15.811506462257972</c:v>
                </c:pt>
                <c:pt idx="158">
                  <c:v>15.756309997947794</c:v>
                </c:pt>
                <c:pt idx="159">
                  <c:v>15.779078939559586</c:v>
                </c:pt>
                <c:pt idx="160">
                  <c:v>15.839999377528351</c:v>
                </c:pt>
                <c:pt idx="161">
                  <c:v>15.74003113701705</c:v>
                </c:pt>
                <c:pt idx="162">
                  <c:v>15.774486069021743</c:v>
                </c:pt>
                <c:pt idx="163">
                  <c:v>15.74780171732368</c:v>
                </c:pt>
                <c:pt idx="164">
                  <c:v>15.756893018332772</c:v>
                </c:pt>
                <c:pt idx="165">
                  <c:v>15.745318398176344</c:v>
                </c:pt>
                <c:pt idx="166">
                  <c:v>15.716667125823546</c:v>
                </c:pt>
                <c:pt idx="167">
                  <c:v>15.706210411599786</c:v>
                </c:pt>
                <c:pt idx="168">
                  <c:v>15.682276697124355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01-454C-87E3-38C0D6BB7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542735"/>
        <c:axId val="1036965711"/>
      </c:lineChart>
      <c:catAx>
        <c:axId val="117754273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65711"/>
        <c:crosses val="autoZero"/>
        <c:auto val="0"/>
        <c:lblAlgn val="ctr"/>
        <c:lblOffset val="100"/>
        <c:noMultiLvlLbl val="0"/>
      </c:catAx>
      <c:valAx>
        <c:axId val="1036965711"/>
        <c:scaling>
          <c:orientation val="minMax"/>
          <c:max val="16.3"/>
          <c:min val="14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5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235086</xdr:colOff>
      <xdr:row>0</xdr:row>
      <xdr:rowOff>152524</xdr:rowOff>
    </xdr:from>
    <xdr:to>
      <xdr:col>14</xdr:col>
      <xdr:colOff>42809</xdr:colOff>
      <xdr:row>23</xdr:row>
      <xdr:rowOff>136987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3D1F0-3BF1-0CC4-2366-605939FF8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3F718-3D34-45B0-A750-DAF47897E4B6}" name="Table1" displayName="Table1" ref="J197:K200" headerRowCount="0" totalsRowShown="0">
  <tableColumns count="2">
    <tableColumn id="1" xr3:uid="{B4180234-5EE0-443C-8413-34032E03D1BB}" name="Column1" headerRowDxfId="14" dataDxfId="13"/>
    <tableColumn id="2" xr3:uid="{493F9CCE-50B5-41A2-825C-B9F4BA0893DB}" name="Column2" headerRowDxfId="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48C354-6DAE-4C52-BDC9-37EDE36BD855}" name="Table7" displayName="Table7" ref="M30:N36" headerRowCount="0" totalsRowShown="0">
  <tableColumns count="2">
    <tableColumn id="1" xr3:uid="{4EC33CE2-2243-4B9E-9B29-2664DC40AAB0}" name="Column1" headerRowDxfId="11" dataDxfId="10"/>
    <tableColumn id="2" xr3:uid="{0AC64484-F51F-420A-A1E7-DFA6FD06859B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14036D-5744-4CF9-8027-542C73677732}" name="Table8" displayName="Table8" ref="P30:Q36" headerRowCount="0" totalsRowShown="0">
  <tableColumns count="2">
    <tableColumn id="1" xr3:uid="{C7AFDE14-7CC0-4D33-8B3C-81487EBBF9A6}" name="Column1" headerRowDxfId="9" dataDxfId="8"/>
    <tableColumn id="2" xr3:uid="{8932AD66-85DE-4700-A7DE-0CA7A493D13C}" name="Column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C3D77A-D179-491F-A0CD-15AF714BADFE}" name="Table9" displayName="Table9" ref="S30:T36" headerRowCount="0" totalsRowShown="0">
  <tableColumns count="2">
    <tableColumn id="1" xr3:uid="{E632B76C-FB13-4C65-8788-C900F34BEEF4}" name="Column1" headerRowDxfId="7" dataDxfId="6"/>
    <tableColumn id="2" xr3:uid="{7D94A365-9DBA-4580-A496-EB37E5A414AF}" name="Column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3FBBFB-21C8-43A8-8683-A196AC9E8A8A}" name="Table10" displayName="Table10" ref="V30:W36" headerRowCount="0" totalsRowShown="0">
  <tableColumns count="2">
    <tableColumn id="1" xr3:uid="{F3A82DDD-A979-448C-BD71-384F8491A7DF}" name="Column1" headerRowDxfId="5" dataDxfId="4"/>
    <tableColumn id="2" xr3:uid="{C0B0D583-593A-4409-8CDD-138DDD352906}" name="Column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E44018-56D9-488F-A929-02641953CF23}" name="Table11" displayName="Table11" ref="M38:N41" headerRowCount="0" totalsRowShown="0">
  <tableColumns count="2">
    <tableColumn id="1" xr3:uid="{15E7CBC0-4A98-4A6D-B8A6-CA13B9D58088}" name="Column1" headerRowDxfId="3" dataDxfId="2"/>
    <tableColumn id="2" xr3:uid="{D3EFD756-4854-42D5-88FC-9A989BE34A55}" name="Column2" headerRowDxfId="1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F0A93-6AAA-4ECB-9B49-0520F8D6C48B}" name="Table5" displayName="Table5" ref="Y31:AB49" totalsRowShown="0" headerRowDxfId="0">
  <autoFilter ref="Y31:AB49" xr:uid="{820F0A93-6AAA-4ECB-9B49-0520F8D6C48B}"/>
  <tableColumns count="4">
    <tableColumn id="1" xr3:uid="{13C22B92-0164-4B33-B397-83262DF18E3C}" name="Closing Price"/>
    <tableColumn id="2" xr3:uid="{997B56E5-3DF2-4D6A-B187-C3779B791E64}" name="Days Ago"/>
    <tableColumn id="3" xr3:uid="{18D5F801-F56D-4B91-9251-61BDAB4CDE3A}" name="Gains"/>
    <tableColumn id="4" xr3:uid="{622E4903-3216-484D-BA90-A9079CDDB1D7}" name="Losse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35D5-51ED-4940-9060-ABC21E453E44}">
  <dimension ref="B26:AB203"/>
  <sheetViews>
    <sheetView tabSelected="1" topLeftCell="Q26" zoomScale="70" zoomScaleNormal="94" workbookViewId="0">
      <selection activeCell="U37" sqref="U37"/>
    </sheetView>
  </sheetViews>
  <sheetFormatPr defaultRowHeight="14.4" outlineLevelRow="1" x14ac:dyDescent="0.3"/>
  <cols>
    <col min="2" max="2" width="8.88671875" customWidth="1"/>
    <col min="3" max="3" width="17" customWidth="1"/>
    <col min="4" max="4" width="11.109375" customWidth="1"/>
    <col min="5" max="5" width="11.44140625" customWidth="1"/>
    <col min="6" max="6" width="8.88671875" customWidth="1"/>
    <col min="7" max="7" width="7.33203125" customWidth="1"/>
    <col min="8" max="8" width="11.109375" customWidth="1"/>
    <col min="9" max="9" width="10.77734375" customWidth="1"/>
    <col min="10" max="10" width="19.33203125" customWidth="1"/>
    <col min="11" max="11" width="15.33203125" customWidth="1"/>
    <col min="13" max="13" width="17.33203125" customWidth="1"/>
    <col min="14" max="14" width="13.33203125" customWidth="1"/>
    <col min="15" max="15" width="4.44140625" customWidth="1"/>
    <col min="16" max="16" width="16.77734375" customWidth="1"/>
    <col min="17" max="17" width="13.44140625" customWidth="1"/>
    <col min="18" max="18" width="5.5546875" customWidth="1"/>
    <col min="19" max="19" width="17.33203125" customWidth="1"/>
    <col min="20" max="20" width="13.44140625" customWidth="1"/>
    <col min="21" max="21" width="5.21875" customWidth="1"/>
    <col min="22" max="22" width="17" customWidth="1"/>
    <col min="23" max="23" width="13.109375" customWidth="1"/>
    <col min="25" max="25" width="15.6640625" customWidth="1"/>
    <col min="26" max="26" width="12.5546875" customWidth="1"/>
    <col min="27" max="27" width="10.21875" customWidth="1"/>
    <col min="28" max="28" width="10.6640625" customWidth="1"/>
  </cols>
  <sheetData>
    <row r="26" spans="2:28" x14ac:dyDescent="0.3"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5</v>
      </c>
      <c r="H26" s="2" t="s">
        <v>8</v>
      </c>
      <c r="I26" s="2" t="s">
        <v>9</v>
      </c>
      <c r="J26" s="2" t="s">
        <v>10</v>
      </c>
      <c r="K26" s="2" t="s">
        <v>19</v>
      </c>
      <c r="M26" s="2" t="s">
        <v>31</v>
      </c>
    </row>
    <row r="27" spans="2:28" x14ac:dyDescent="0.3">
      <c r="B27" s="1">
        <v>37257</v>
      </c>
      <c r="C27">
        <v>16.100000000000001</v>
      </c>
      <c r="D27">
        <f>AVERAGE(C27,C27,C27,C27,C27,C27,C27,C27,C27,C27,C27,C28:C37)</f>
        <v>16.063809523809521</v>
      </c>
      <c r="E27">
        <f>_xlfn.STDEV.P(C27,C27,C27,C27,C27,C27,C27,C27,C27,C27,C27,C28:C37)</f>
        <v>4.2142184552072297E-2</v>
      </c>
      <c r="F27">
        <f t="shared" ref="F27:F58" si="0">D27-($D$203*E27)</f>
        <v>16.00481046543662</v>
      </c>
      <c r="G27">
        <f t="shared" ref="G27:G58" si="1">D27+($D$203*E27)</f>
        <v>16.122808582182422</v>
      </c>
      <c r="H27">
        <f>IF(C27&lt;=F27, 1, 0)</f>
        <v>0</v>
      </c>
      <c r="I27">
        <f>IF(C27&gt;=G27, 1, 0)</f>
        <v>0</v>
      </c>
      <c r="J27" s="3">
        <v>0</v>
      </c>
      <c r="K27" s="8">
        <v>1000000</v>
      </c>
    </row>
    <row r="28" spans="2:28" x14ac:dyDescent="0.3">
      <c r="B28" s="1">
        <v>38353</v>
      </c>
      <c r="C28">
        <v>16.04</v>
      </c>
      <c r="D28">
        <f>AVERAGE(C27,C28,C28,C28,C28,C28,C28,C28,C28,C28,C28,C29:C38)</f>
        <v>16.034285714285708</v>
      </c>
      <c r="E28">
        <f>_xlfn.STDEV.P(C27,C28,C28,C28,C28,C28,C28,C28,C28,C28,C28,C29:C38)</f>
        <v>2.4798507745317135E-2</v>
      </c>
      <c r="F28">
        <f t="shared" si="0"/>
        <v>15.999567803442265</v>
      </c>
      <c r="G28">
        <f t="shared" si="1"/>
        <v>16.069003625129152</v>
      </c>
      <c r="H28">
        <f t="shared" ref="H28:H91" si="2">IF(C28&lt;=F28, 1, 0)</f>
        <v>0</v>
      </c>
      <c r="I28">
        <f t="shared" ref="I28:I91" si="3">IF(C28&gt;=G28, 1, 0)</f>
        <v>0</v>
      </c>
      <c r="J28" s="3">
        <v>0</v>
      </c>
      <c r="K28" s="8">
        <v>1000000</v>
      </c>
      <c r="M28" s="5" t="s">
        <v>15</v>
      </c>
      <c r="N28" s="9">
        <v>1000000</v>
      </c>
    </row>
    <row r="29" spans="2:28" x14ac:dyDescent="0.3">
      <c r="B29" s="1">
        <v>38718</v>
      </c>
      <c r="C29">
        <v>16</v>
      </c>
      <c r="D29">
        <f>AVERAGE(C27:C28,C29,C29,C29,C29,C29,C29,C29,C29,C29,C30:C39)</f>
        <v>16.017142857142854</v>
      </c>
      <c r="E29">
        <f>_xlfn.STDEV.P(C27:C29,C29,C29,C29,C29,C29,C29,C29,C29,C30:C39)</f>
        <v>2.8476031214716174E-2</v>
      </c>
      <c r="F29">
        <f t="shared" si="0"/>
        <v>15.977276413442251</v>
      </c>
      <c r="G29">
        <f t="shared" si="1"/>
        <v>16.057009300843458</v>
      </c>
      <c r="H29">
        <f t="shared" si="2"/>
        <v>0</v>
      </c>
      <c r="I29">
        <f t="shared" si="3"/>
        <v>0</v>
      </c>
      <c r="J29" s="3">
        <v>0</v>
      </c>
      <c r="K29" s="8">
        <v>1000000</v>
      </c>
    </row>
    <row r="30" spans="2:28" x14ac:dyDescent="0.3">
      <c r="B30" s="1">
        <v>39083</v>
      </c>
      <c r="C30">
        <v>16.079999999999998</v>
      </c>
      <c r="D30">
        <f>AVERAGE(C27:C29,C30,C30,C30,C30,C30,C30,C30,C30,C31:C40)</f>
        <v>16.043809523809522</v>
      </c>
      <c r="E30">
        <f>_xlfn.STDEV.P(C27:C29,C30,C30,C30,C30,C30,C30,C30,C30,C31:C40)</f>
        <v>3.631557326654733E-2</v>
      </c>
      <c r="F30">
        <f t="shared" si="0"/>
        <v>15.992967721236356</v>
      </c>
      <c r="G30">
        <f t="shared" si="1"/>
        <v>16.094651326382689</v>
      </c>
      <c r="H30">
        <f t="shared" si="2"/>
        <v>0</v>
      </c>
      <c r="I30">
        <f t="shared" si="3"/>
        <v>0</v>
      </c>
      <c r="J30" s="3">
        <v>0</v>
      </c>
      <c r="K30" s="8">
        <v>1000000</v>
      </c>
      <c r="M30" s="2" t="s">
        <v>16</v>
      </c>
      <c r="P30" s="2" t="s">
        <v>21</v>
      </c>
      <c r="S30" s="2" t="s">
        <v>24</v>
      </c>
      <c r="V30" s="2" t="s">
        <v>25</v>
      </c>
      <c r="Y30" s="2" t="s">
        <v>39</v>
      </c>
    </row>
    <row r="31" spans="2:28" x14ac:dyDescent="0.3">
      <c r="B31" s="1">
        <v>39448</v>
      </c>
      <c r="C31">
        <v>16.059999999999999</v>
      </c>
      <c r="D31">
        <f>AVERAGE(C27:C30,C31,C31,C31,C31,C31,C31,C31,C32:C41)</f>
        <v>16.018095238095242</v>
      </c>
      <c r="E31">
        <f>_xlfn.STDEV.P(C27:C30,C31,C31,C31,C31,C31,C31,C31,C32:C41)</f>
        <v>8.5502383571289059E-2</v>
      </c>
      <c r="F31">
        <f t="shared" si="0"/>
        <v>15.898391901095437</v>
      </c>
      <c r="G31">
        <f t="shared" si="1"/>
        <v>16.137798575095047</v>
      </c>
      <c r="H31">
        <f t="shared" si="2"/>
        <v>0</v>
      </c>
      <c r="I31">
        <f t="shared" si="3"/>
        <v>0</v>
      </c>
      <c r="J31" s="3">
        <v>0</v>
      </c>
      <c r="K31" s="8">
        <v>1000000</v>
      </c>
      <c r="M31" s="2" t="s">
        <v>20</v>
      </c>
      <c r="N31" s="8">
        <v>14.92</v>
      </c>
      <c r="P31" s="2" t="s">
        <v>20</v>
      </c>
      <c r="Q31" s="8">
        <v>15.14</v>
      </c>
      <c r="S31" s="2" t="s">
        <v>20</v>
      </c>
      <c r="T31" s="8">
        <v>15.2</v>
      </c>
      <c r="V31" s="2" t="s">
        <v>20</v>
      </c>
      <c r="W31" s="8">
        <v>15</v>
      </c>
      <c r="Y31" s="10" t="s">
        <v>32</v>
      </c>
      <c r="Z31" s="10" t="s">
        <v>33</v>
      </c>
      <c r="AA31" s="10" t="s">
        <v>34</v>
      </c>
      <c r="AB31" s="10" t="s">
        <v>35</v>
      </c>
    </row>
    <row r="32" spans="2:28" x14ac:dyDescent="0.3">
      <c r="B32" s="1">
        <v>39814</v>
      </c>
      <c r="C32">
        <v>16.02</v>
      </c>
      <c r="D32">
        <f>AVERAGE(C27:C31, C32,C32,C32,C32,C32,C32,C33:C42)</f>
        <v>16.005714285714287</v>
      </c>
      <c r="E32">
        <f>_xlfn.STDEV.P(C27:C31,C32,C32,C32,C32,C32,C32,C33:C42)</f>
        <v>8.1682977685301097E-2</v>
      </c>
      <c r="F32">
        <f t="shared" si="0"/>
        <v>15.891358116954866</v>
      </c>
      <c r="G32">
        <f t="shared" si="1"/>
        <v>16.120070454473709</v>
      </c>
      <c r="H32">
        <f t="shared" si="2"/>
        <v>0</v>
      </c>
      <c r="I32">
        <f t="shared" si="3"/>
        <v>0</v>
      </c>
      <c r="J32" s="3">
        <v>0</v>
      </c>
      <c r="K32" s="8">
        <v>1000000</v>
      </c>
      <c r="M32" s="2" t="s">
        <v>17</v>
      </c>
      <c r="N32">
        <v>67024</v>
      </c>
      <c r="P32" s="2" t="s">
        <v>17</v>
      </c>
      <c r="Q32" s="3">
        <f>J91</f>
        <v>68971.989757792326</v>
      </c>
      <c r="S32" s="2" t="s">
        <v>17</v>
      </c>
      <c r="T32">
        <v>71967</v>
      </c>
      <c r="V32" s="2" t="s">
        <v>17</v>
      </c>
      <c r="W32" s="3">
        <f>J184</f>
        <v>75325.278042411432</v>
      </c>
      <c r="Y32">
        <v>15.98</v>
      </c>
      <c r="Z32">
        <v>15</v>
      </c>
      <c r="AA32">
        <f t="shared" ref="AA32:AA45" si="4">IF(Y33&gt;Y32, Y33-Y32, 0)</f>
        <v>0</v>
      </c>
      <c r="AB32" s="6">
        <f t="shared" ref="AB32:AB45" si="5">IF(Y33&lt;Y32, ABS(Y33-Y32), 0)</f>
        <v>0.25999999999999979</v>
      </c>
    </row>
    <row r="33" spans="2:28" x14ac:dyDescent="0.3">
      <c r="B33" s="1">
        <v>40909</v>
      </c>
      <c r="C33">
        <v>16.02</v>
      </c>
      <c r="D33">
        <f>AVERAGE(C27:C32, C33,C33,C33,C33,C33,C34:C43)</f>
        <v>16.00476190476191</v>
      </c>
      <c r="E33">
        <f>_xlfn.STDEV.P(C27:C32,C33,C33,C33,C33,C33,C34:C43)</f>
        <v>8.1627437475108922E-2</v>
      </c>
      <c r="F33">
        <f t="shared" si="0"/>
        <v>15.890483492296758</v>
      </c>
      <c r="G33">
        <f t="shared" si="1"/>
        <v>16.119040317227064</v>
      </c>
      <c r="H33">
        <f t="shared" si="2"/>
        <v>0</v>
      </c>
      <c r="I33">
        <f t="shared" si="3"/>
        <v>0</v>
      </c>
      <c r="J33" s="3">
        <v>0</v>
      </c>
      <c r="K33" s="8">
        <v>1000000</v>
      </c>
      <c r="M33" s="2"/>
      <c r="Y33">
        <v>15.72</v>
      </c>
      <c r="Z33">
        <v>14</v>
      </c>
      <c r="AA33" s="5">
        <f t="shared" si="4"/>
        <v>0.16000000000000014</v>
      </c>
      <c r="AB33">
        <f t="shared" si="5"/>
        <v>0</v>
      </c>
    </row>
    <row r="34" spans="2:28" x14ac:dyDescent="0.3">
      <c r="B34" s="1">
        <v>41275</v>
      </c>
      <c r="C34">
        <v>16</v>
      </c>
      <c r="D34">
        <f>AVERAGE(C27:C33, C35:C44, C34, C34, C34, C34)</f>
        <v>15.979999999999999</v>
      </c>
      <c r="E34">
        <f>_xlfn.STDEV.P(C27:C33,C34,C34,C34,C34,C35:C44)</f>
        <v>0.12421180068162357</v>
      </c>
      <c r="F34">
        <f t="shared" si="0"/>
        <v>15.806103479045726</v>
      </c>
      <c r="G34">
        <f t="shared" si="1"/>
        <v>16.153896520954273</v>
      </c>
      <c r="H34">
        <f t="shared" si="2"/>
        <v>0</v>
      </c>
      <c r="I34">
        <f t="shared" si="3"/>
        <v>0</v>
      </c>
      <c r="J34" s="3">
        <v>0</v>
      </c>
      <c r="K34" s="8">
        <v>1000000</v>
      </c>
      <c r="M34" s="2" t="s">
        <v>18</v>
      </c>
      <c r="P34" s="2" t="s">
        <v>23</v>
      </c>
      <c r="S34" s="2" t="s">
        <v>22</v>
      </c>
      <c r="V34" s="2" t="s">
        <v>26</v>
      </c>
      <c r="Y34">
        <v>15.88</v>
      </c>
      <c r="Z34">
        <v>13</v>
      </c>
      <c r="AA34">
        <f t="shared" si="4"/>
        <v>0</v>
      </c>
      <c r="AB34">
        <f t="shared" si="5"/>
        <v>0.5</v>
      </c>
    </row>
    <row r="35" spans="2:28" x14ac:dyDescent="0.3">
      <c r="B35" s="1">
        <v>41640</v>
      </c>
      <c r="C35">
        <v>16</v>
      </c>
      <c r="D35">
        <f>AVERAGE(C27:C34, C36:C45, C35, C35, C35)</f>
        <v>15.970476190476191</v>
      </c>
      <c r="E35">
        <f>_xlfn.STDEV.P(C27:C34,C35,C35,C35,C36:C45)</f>
        <v>0.12985252405916139</v>
      </c>
      <c r="F35">
        <f t="shared" si="0"/>
        <v>15.788682656793364</v>
      </c>
      <c r="G35">
        <f t="shared" si="1"/>
        <v>16.152269724159016</v>
      </c>
      <c r="H35">
        <f t="shared" si="2"/>
        <v>0</v>
      </c>
      <c r="I35">
        <f t="shared" si="3"/>
        <v>0</v>
      </c>
      <c r="J35" s="3">
        <v>0</v>
      </c>
      <c r="K35" s="8">
        <v>1000000</v>
      </c>
      <c r="M35" s="2" t="s">
        <v>20</v>
      </c>
      <c r="N35" s="8">
        <v>15.58</v>
      </c>
      <c r="P35" s="2" t="s">
        <v>20</v>
      </c>
      <c r="Q35" s="8">
        <v>15.86</v>
      </c>
      <c r="S35" s="2" t="s">
        <v>20</v>
      </c>
      <c r="T35" s="8">
        <v>15.7</v>
      </c>
      <c r="V35" s="2" t="s">
        <v>20</v>
      </c>
      <c r="W35" s="8">
        <f>C185</f>
        <v>15.98</v>
      </c>
      <c r="Y35">
        <v>15.38</v>
      </c>
      <c r="Z35">
        <v>12</v>
      </c>
      <c r="AA35" s="5">
        <f t="shared" si="4"/>
        <v>0.11999999999999922</v>
      </c>
      <c r="AB35">
        <f t="shared" si="5"/>
        <v>0</v>
      </c>
    </row>
    <row r="36" spans="2:28" x14ac:dyDescent="0.3">
      <c r="B36" s="1">
        <v>42005</v>
      </c>
      <c r="C36">
        <v>16.02</v>
      </c>
      <c r="D36">
        <f>AVERAGE(C27:C36, C36,C37:C46)</f>
        <v>15.957142857142859</v>
      </c>
      <c r="E36">
        <f>_xlfn.STDEV.P(C27:C35,C36,C36,C37:C46)</f>
        <v>0.14213149033278177</v>
      </c>
      <c r="F36">
        <f t="shared" si="0"/>
        <v>15.758158770676964</v>
      </c>
      <c r="G36">
        <f t="shared" si="1"/>
        <v>16.156126943608754</v>
      </c>
      <c r="H36">
        <f t="shared" si="2"/>
        <v>0</v>
      </c>
      <c r="I36">
        <f t="shared" si="3"/>
        <v>0</v>
      </c>
      <c r="J36" s="3">
        <v>0</v>
      </c>
      <c r="K36" s="8">
        <v>1000000</v>
      </c>
      <c r="M36" s="2" t="s">
        <v>19</v>
      </c>
      <c r="N36" s="9">
        <f>K77</f>
        <v>1044235.9249329759</v>
      </c>
      <c r="P36" s="2" t="s">
        <v>19</v>
      </c>
      <c r="Q36" s="9">
        <f>K113</f>
        <v>1093895.7575585863</v>
      </c>
      <c r="S36" s="2" t="s">
        <v>19</v>
      </c>
      <c r="T36" s="9">
        <f>K149</f>
        <v>1129879.1706361715</v>
      </c>
      <c r="V36" s="2" t="s">
        <v>19</v>
      </c>
      <c r="W36" s="9">
        <f>K186</f>
        <v>1203697.9431177347</v>
      </c>
      <c r="Y36">
        <v>15.5</v>
      </c>
      <c r="Z36">
        <v>11</v>
      </c>
      <c r="AA36">
        <f t="shared" si="4"/>
        <v>0</v>
      </c>
      <c r="AB36" s="6">
        <f t="shared" si="5"/>
        <v>0.11999999999999922</v>
      </c>
    </row>
    <row r="37" spans="2:28" x14ac:dyDescent="0.3">
      <c r="B37" s="1">
        <v>42370</v>
      </c>
      <c r="C37">
        <v>16</v>
      </c>
      <c r="D37">
        <f>AVERAGE(C27:C46)</f>
        <v>15.953999999999999</v>
      </c>
      <c r="E37">
        <f>_xlfn.STDEV.P(C27:C47)</f>
        <v>0.17627025220966488</v>
      </c>
      <c r="F37">
        <f t="shared" si="0"/>
        <v>15.707221646906468</v>
      </c>
      <c r="G37">
        <f t="shared" si="1"/>
        <v>16.200778353093529</v>
      </c>
      <c r="H37">
        <f t="shared" si="2"/>
        <v>0</v>
      </c>
      <c r="I37">
        <f t="shared" si="3"/>
        <v>0</v>
      </c>
      <c r="J37" s="3">
        <v>0</v>
      </c>
      <c r="K37" s="8">
        <v>1000000</v>
      </c>
      <c r="Y37">
        <v>15.38</v>
      </c>
      <c r="Z37">
        <v>10</v>
      </c>
      <c r="AA37" s="5">
        <f t="shared" si="4"/>
        <v>3.9999999999999147E-2</v>
      </c>
      <c r="AB37">
        <f t="shared" si="5"/>
        <v>0</v>
      </c>
    </row>
    <row r="38" spans="2:28" x14ac:dyDescent="0.3">
      <c r="B38" s="1">
        <v>43466</v>
      </c>
      <c r="C38">
        <v>16.02</v>
      </c>
      <c r="D38">
        <f>AVERAGE(C28:C47)</f>
        <v>15.921999999999997</v>
      </c>
      <c r="E38">
        <f>_xlfn.STDEV.P(C28:C48)</f>
        <v>0.17743958762417053</v>
      </c>
      <c r="F38">
        <f t="shared" si="0"/>
        <v>15.673584577326158</v>
      </c>
      <c r="G38">
        <f t="shared" si="1"/>
        <v>16.170415422673837</v>
      </c>
      <c r="H38">
        <f t="shared" si="2"/>
        <v>0</v>
      </c>
      <c r="I38">
        <f t="shared" si="3"/>
        <v>0</v>
      </c>
      <c r="J38" s="3">
        <v>0</v>
      </c>
      <c r="K38" s="8">
        <v>1000000</v>
      </c>
      <c r="M38" s="2" t="s">
        <v>27</v>
      </c>
      <c r="N38" s="8">
        <f>W36</f>
        <v>1203697.9431177347</v>
      </c>
      <c r="Y38">
        <v>15.42</v>
      </c>
      <c r="Z38">
        <v>9</v>
      </c>
      <c r="AA38">
        <f t="shared" si="4"/>
        <v>0</v>
      </c>
      <c r="AB38" s="6">
        <f t="shared" si="5"/>
        <v>1.9999999999999574E-2</v>
      </c>
    </row>
    <row r="39" spans="2:28" x14ac:dyDescent="0.3">
      <c r="B39" s="1">
        <v>43831</v>
      </c>
      <c r="C39">
        <v>16</v>
      </c>
      <c r="D39">
        <f t="shared" ref="D39" si="6">AVERAGE(C29:C48)</f>
        <v>15.906000000000001</v>
      </c>
      <c r="E39">
        <f t="shared" ref="E39:E102" si="7">_xlfn.STDEV.P(C29:C49)</f>
        <v>0.19922753318084352</v>
      </c>
      <c r="F39">
        <f t="shared" si="0"/>
        <v>15.62708145354682</v>
      </c>
      <c r="G39">
        <f t="shared" si="1"/>
        <v>16.184918546453183</v>
      </c>
      <c r="H39">
        <f t="shared" si="2"/>
        <v>0</v>
      </c>
      <c r="I39">
        <f t="shared" si="3"/>
        <v>0</v>
      </c>
      <c r="J39" s="3">
        <v>0</v>
      </c>
      <c r="K39" s="8">
        <v>1000000</v>
      </c>
      <c r="M39" s="2" t="s">
        <v>28</v>
      </c>
      <c r="N39" s="8">
        <f>W36-N28</f>
        <v>203697.94311773474</v>
      </c>
      <c r="Y39">
        <v>15.4</v>
      </c>
      <c r="Z39">
        <v>8</v>
      </c>
      <c r="AA39">
        <f t="shared" si="4"/>
        <v>0</v>
      </c>
      <c r="AB39" s="6">
        <f t="shared" si="5"/>
        <v>9.9999999999999645E-2</v>
      </c>
    </row>
    <row r="40" spans="2:28" x14ac:dyDescent="0.3">
      <c r="B40" s="1">
        <v>44197</v>
      </c>
      <c r="C40">
        <v>16</v>
      </c>
      <c r="D40">
        <f>AVERAGE(C30:C49)</f>
        <v>15.879</v>
      </c>
      <c r="E40">
        <f t="shared" si="7"/>
        <v>0.21677077561562014</v>
      </c>
      <c r="F40">
        <f t="shared" si="0"/>
        <v>15.575520914138131</v>
      </c>
      <c r="G40">
        <f t="shared" si="1"/>
        <v>16.182479085861868</v>
      </c>
      <c r="H40">
        <f t="shared" si="2"/>
        <v>0</v>
      </c>
      <c r="I40">
        <f t="shared" si="3"/>
        <v>0</v>
      </c>
      <c r="J40" s="3">
        <v>0</v>
      </c>
      <c r="K40" s="8">
        <v>1000000</v>
      </c>
      <c r="M40" s="2" t="s">
        <v>29</v>
      </c>
      <c r="N40" s="7">
        <f>N39/N28</f>
        <v>0.20369794311773473</v>
      </c>
      <c r="Y40">
        <v>15.3</v>
      </c>
      <c r="Z40">
        <v>7</v>
      </c>
      <c r="AA40">
        <f t="shared" si="4"/>
        <v>0</v>
      </c>
      <c r="AB40" s="6">
        <f t="shared" si="5"/>
        <v>2.000000000000135E-2</v>
      </c>
    </row>
    <row r="41" spans="2:28" x14ac:dyDescent="0.3">
      <c r="B41" s="1">
        <v>44562</v>
      </c>
      <c r="C41">
        <v>15.66</v>
      </c>
      <c r="D41">
        <f t="shared" ref="D41:D104" si="8">AVERAGE(C31:C50)</f>
        <v>15.847999999999999</v>
      </c>
      <c r="E41">
        <f t="shared" si="7"/>
        <v>0.22666266503070298</v>
      </c>
      <c r="F41">
        <f t="shared" si="0"/>
        <v>15.530672268957014</v>
      </c>
      <c r="G41">
        <f t="shared" si="1"/>
        <v>16.165327731042982</v>
      </c>
      <c r="H41">
        <f t="shared" si="2"/>
        <v>0</v>
      </c>
      <c r="I41">
        <f t="shared" si="3"/>
        <v>0</v>
      </c>
      <c r="J41" s="3">
        <v>0</v>
      </c>
      <c r="K41" s="8">
        <v>1000000</v>
      </c>
      <c r="M41" s="2" t="s">
        <v>30</v>
      </c>
      <c r="N41" s="7">
        <f>N40*365/251</f>
        <v>0.29621414039033134</v>
      </c>
      <c r="Y41">
        <v>15.28</v>
      </c>
      <c r="Z41">
        <v>6</v>
      </c>
      <c r="AA41" s="5">
        <f t="shared" si="4"/>
        <v>2.000000000000135E-2</v>
      </c>
      <c r="AB41">
        <f t="shared" si="5"/>
        <v>0</v>
      </c>
    </row>
    <row r="42" spans="2:28" x14ac:dyDescent="0.3">
      <c r="B42" s="1">
        <v>44927</v>
      </c>
      <c r="C42">
        <v>16</v>
      </c>
      <c r="D42">
        <f t="shared" si="8"/>
        <v>15.817999999999998</v>
      </c>
      <c r="E42">
        <f t="shared" si="7"/>
        <v>0.2226739173531278</v>
      </c>
      <c r="F42">
        <f t="shared" si="0"/>
        <v>15.506256515705619</v>
      </c>
      <c r="G42">
        <f t="shared" si="1"/>
        <v>16.129743484294377</v>
      </c>
      <c r="H42">
        <f t="shared" si="2"/>
        <v>0</v>
      </c>
      <c r="I42">
        <f t="shared" si="3"/>
        <v>0</v>
      </c>
      <c r="J42" s="3">
        <v>0</v>
      </c>
      <c r="K42" s="8">
        <v>1000000</v>
      </c>
      <c r="Y42">
        <v>15.3</v>
      </c>
      <c r="Z42">
        <v>5</v>
      </c>
      <c r="AA42">
        <f t="shared" si="4"/>
        <v>0</v>
      </c>
      <c r="AB42" s="6">
        <f t="shared" si="5"/>
        <v>8.0000000000000071E-2</v>
      </c>
    </row>
    <row r="43" spans="2:28" x14ac:dyDescent="0.3">
      <c r="B43" s="1">
        <v>46023</v>
      </c>
      <c r="C43">
        <v>16</v>
      </c>
      <c r="D43">
        <f t="shared" si="8"/>
        <v>15.800999999999998</v>
      </c>
      <c r="E43">
        <f t="shared" si="7"/>
        <v>0.22952578540939639</v>
      </c>
      <c r="F43">
        <f t="shared" si="0"/>
        <v>15.479663900426843</v>
      </c>
      <c r="G43">
        <f t="shared" si="1"/>
        <v>16.122336099573154</v>
      </c>
      <c r="H43">
        <f t="shared" si="2"/>
        <v>0</v>
      </c>
      <c r="I43">
        <f t="shared" si="3"/>
        <v>0</v>
      </c>
      <c r="J43" s="3">
        <v>0</v>
      </c>
      <c r="K43" s="8">
        <v>1000000</v>
      </c>
      <c r="Y43">
        <v>15.22</v>
      </c>
      <c r="Z43">
        <v>4</v>
      </c>
      <c r="AA43">
        <f t="shared" si="4"/>
        <v>0</v>
      </c>
      <c r="AB43" s="6">
        <f t="shared" si="5"/>
        <v>6.0000000000000497E-2</v>
      </c>
    </row>
    <row r="44" spans="2:28" x14ac:dyDescent="0.3">
      <c r="B44" s="1">
        <v>46388</v>
      </c>
      <c r="C44">
        <v>15.56</v>
      </c>
      <c r="D44">
        <f t="shared" si="8"/>
        <v>15.773</v>
      </c>
      <c r="E44">
        <f t="shared" si="7"/>
        <v>0.24010579678715283</v>
      </c>
      <c r="F44">
        <f t="shared" si="0"/>
        <v>15.436851884497985</v>
      </c>
      <c r="G44">
        <f t="shared" si="1"/>
        <v>16.109148115502013</v>
      </c>
      <c r="H44">
        <f>IF(C44&lt;=F44, 1, 0)</f>
        <v>0</v>
      </c>
      <c r="I44">
        <f t="shared" si="3"/>
        <v>0</v>
      </c>
      <c r="J44" s="3">
        <v>0</v>
      </c>
      <c r="K44" s="8">
        <v>1000000</v>
      </c>
      <c r="Y44">
        <v>15.16</v>
      </c>
      <c r="Z44">
        <v>3</v>
      </c>
      <c r="AA44">
        <f t="shared" si="4"/>
        <v>0</v>
      </c>
      <c r="AB44" s="6">
        <f t="shared" si="5"/>
        <v>4.0000000000000924E-2</v>
      </c>
    </row>
    <row r="45" spans="2:28" x14ac:dyDescent="0.3">
      <c r="B45" s="1">
        <v>46753</v>
      </c>
      <c r="C45">
        <v>15.8</v>
      </c>
      <c r="D45">
        <f t="shared" si="8"/>
        <v>15.741</v>
      </c>
      <c r="E45">
        <f t="shared" si="7"/>
        <v>0.24736983796472398</v>
      </c>
      <c r="F45">
        <f t="shared" si="0"/>
        <v>15.394682226849387</v>
      </c>
      <c r="G45">
        <f t="shared" si="1"/>
        <v>16.087317773150613</v>
      </c>
      <c r="H45">
        <f t="shared" si="2"/>
        <v>0</v>
      </c>
      <c r="I45">
        <f t="shared" si="3"/>
        <v>0</v>
      </c>
      <c r="J45" s="3">
        <v>0</v>
      </c>
      <c r="K45" s="8">
        <v>1000000</v>
      </c>
      <c r="Y45">
        <v>15.12</v>
      </c>
      <c r="Z45">
        <v>2</v>
      </c>
      <c r="AA45" s="5">
        <f t="shared" si="4"/>
        <v>0.12000000000000099</v>
      </c>
      <c r="AB45">
        <f t="shared" si="5"/>
        <v>0</v>
      </c>
    </row>
    <row r="46" spans="2:28" x14ac:dyDescent="0.3">
      <c r="B46" s="1">
        <v>47119</v>
      </c>
      <c r="C46">
        <v>15.7</v>
      </c>
      <c r="D46">
        <f t="shared" si="8"/>
        <v>15.709</v>
      </c>
      <c r="E46">
        <f t="shared" si="7"/>
        <v>0.25204469963132492</v>
      </c>
      <c r="F46">
        <f t="shared" si="0"/>
        <v>15.356137420516145</v>
      </c>
      <c r="G46">
        <f t="shared" si="1"/>
        <v>16.061862579483854</v>
      </c>
      <c r="H46">
        <f t="shared" si="2"/>
        <v>0</v>
      </c>
      <c r="I46">
        <f t="shared" si="3"/>
        <v>0</v>
      </c>
      <c r="J46" s="3">
        <v>0</v>
      </c>
      <c r="K46" s="8">
        <v>1000000</v>
      </c>
      <c r="Y46">
        <v>15.24</v>
      </c>
      <c r="Z46">
        <v>1</v>
      </c>
    </row>
    <row r="47" spans="2:28" x14ac:dyDescent="0.3">
      <c r="B47" s="1">
        <v>47484</v>
      </c>
      <c r="C47">
        <v>15.46</v>
      </c>
      <c r="D47">
        <f t="shared" si="8"/>
        <v>15.675000000000001</v>
      </c>
      <c r="E47">
        <f t="shared" si="7"/>
        <v>0.24396200588915531</v>
      </c>
      <c r="F47">
        <f t="shared" si="0"/>
        <v>15.333453191755183</v>
      </c>
      <c r="G47">
        <f t="shared" si="1"/>
        <v>16.016546808244819</v>
      </c>
      <c r="H47">
        <f t="shared" si="2"/>
        <v>0</v>
      </c>
      <c r="I47">
        <f t="shared" si="3"/>
        <v>0</v>
      </c>
      <c r="J47" s="3">
        <v>0</v>
      </c>
      <c r="K47" s="8">
        <v>1000000</v>
      </c>
      <c r="Z47" s="10" t="s">
        <v>36</v>
      </c>
      <c r="AA47" s="5">
        <f>AVERAGE(AA32:AA46)</f>
        <v>3.2857142857142918E-2</v>
      </c>
      <c r="AB47" s="6">
        <f>AVERAGE(AB32:AB45)</f>
        <v>8.5714285714285784E-2</v>
      </c>
    </row>
    <row r="48" spans="2:28" outlineLevel="1" x14ac:dyDescent="0.3">
      <c r="B48" s="1">
        <v>37288</v>
      </c>
      <c r="C48">
        <v>15.72</v>
      </c>
      <c r="D48">
        <f t="shared" si="8"/>
        <v>15.65</v>
      </c>
      <c r="E48">
        <f t="shared" si="7"/>
        <v>0.23254092854100317</v>
      </c>
      <c r="F48">
        <f t="shared" si="0"/>
        <v>15.324442700042596</v>
      </c>
      <c r="G48">
        <f t="shared" si="1"/>
        <v>15.975557299957405</v>
      </c>
      <c r="H48">
        <f t="shared" si="2"/>
        <v>0</v>
      </c>
      <c r="I48">
        <f t="shared" si="3"/>
        <v>0</v>
      </c>
      <c r="J48" s="3">
        <v>0</v>
      </c>
      <c r="K48" s="8">
        <v>1000000</v>
      </c>
      <c r="Y48" s="2" t="s">
        <v>37</v>
      </c>
      <c r="AA48" s="11">
        <f>AA47/AB47</f>
        <v>0.38333333333333375</v>
      </c>
    </row>
    <row r="49" spans="2:27" x14ac:dyDescent="0.3">
      <c r="B49" s="1">
        <v>37653</v>
      </c>
      <c r="C49">
        <v>15.46</v>
      </c>
      <c r="D49">
        <f t="shared" si="8"/>
        <v>15.634</v>
      </c>
      <c r="E49">
        <f t="shared" si="7"/>
        <v>0.21939103514923949</v>
      </c>
      <c r="F49">
        <f t="shared" si="0"/>
        <v>15.326852550791065</v>
      </c>
      <c r="G49">
        <f t="shared" si="1"/>
        <v>15.941147449208936</v>
      </c>
      <c r="H49">
        <f t="shared" si="2"/>
        <v>0</v>
      </c>
      <c r="I49">
        <f t="shared" si="3"/>
        <v>0</v>
      </c>
      <c r="J49" s="3">
        <v>0</v>
      </c>
      <c r="K49" s="8">
        <v>1000000</v>
      </c>
      <c r="Y49" s="2" t="s">
        <v>38</v>
      </c>
      <c r="AA49">
        <f>100-(100/(1+AA48))</f>
        <v>27.710843373494001</v>
      </c>
    </row>
    <row r="50" spans="2:27" x14ac:dyDescent="0.3">
      <c r="B50" s="1">
        <v>38018</v>
      </c>
      <c r="C50">
        <v>15.46</v>
      </c>
      <c r="D50">
        <f t="shared" si="8"/>
        <v>15.609</v>
      </c>
      <c r="E50">
        <f t="shared" si="7"/>
        <v>0.20389851194798636</v>
      </c>
      <c r="F50">
        <f t="shared" si="0"/>
        <v>15.32354208327282</v>
      </c>
      <c r="G50">
        <f t="shared" si="1"/>
        <v>15.89445791672718</v>
      </c>
      <c r="H50">
        <f t="shared" si="2"/>
        <v>0</v>
      </c>
      <c r="I50">
        <f t="shared" si="3"/>
        <v>0</v>
      </c>
      <c r="J50" s="3">
        <v>0</v>
      </c>
      <c r="K50" s="8">
        <v>1000000</v>
      </c>
    </row>
    <row r="51" spans="2:27" x14ac:dyDescent="0.3">
      <c r="B51" s="1">
        <v>38384</v>
      </c>
      <c r="C51">
        <v>15.46</v>
      </c>
      <c r="D51">
        <f t="shared" si="8"/>
        <v>15.593999999999999</v>
      </c>
      <c r="E51">
        <f t="shared" si="7"/>
        <v>0.18659862705563404</v>
      </c>
      <c r="F51">
        <f t="shared" si="0"/>
        <v>15.332761922122112</v>
      </c>
      <c r="G51">
        <f t="shared" si="1"/>
        <v>15.855238077877887</v>
      </c>
      <c r="H51">
        <f t="shared" si="2"/>
        <v>0</v>
      </c>
      <c r="I51">
        <f t="shared" si="3"/>
        <v>0</v>
      </c>
      <c r="J51" s="3">
        <v>0</v>
      </c>
      <c r="K51" s="8">
        <v>1000000</v>
      </c>
    </row>
    <row r="52" spans="2:27" x14ac:dyDescent="0.3">
      <c r="B52" s="1">
        <v>38749</v>
      </c>
      <c r="C52">
        <v>15.68</v>
      </c>
      <c r="D52">
        <f t="shared" si="8"/>
        <v>15.597000000000005</v>
      </c>
      <c r="E52">
        <f t="shared" si="7"/>
        <v>0.20676977897313378</v>
      </c>
      <c r="F52">
        <f t="shared" si="0"/>
        <v>15.307522309437617</v>
      </c>
      <c r="G52">
        <f t="shared" si="1"/>
        <v>15.886477690562392</v>
      </c>
      <c r="H52">
        <f t="shared" si="2"/>
        <v>0</v>
      </c>
      <c r="I52">
        <f t="shared" si="3"/>
        <v>0</v>
      </c>
      <c r="J52" s="3">
        <v>0</v>
      </c>
      <c r="K52" s="8">
        <v>1000000</v>
      </c>
    </row>
    <row r="53" spans="2:27" x14ac:dyDescent="0.3">
      <c r="B53" s="1">
        <v>39845</v>
      </c>
      <c r="C53">
        <v>15.46</v>
      </c>
      <c r="D53">
        <f t="shared" si="8"/>
        <v>15.598000000000004</v>
      </c>
      <c r="E53">
        <f t="shared" si="7"/>
        <v>0.20856925417435812</v>
      </c>
      <c r="F53">
        <f t="shared" si="0"/>
        <v>15.306003044155903</v>
      </c>
      <c r="G53">
        <f t="shared" si="1"/>
        <v>15.889996955844106</v>
      </c>
      <c r="H53">
        <f t="shared" si="2"/>
        <v>0</v>
      </c>
      <c r="I53">
        <f t="shared" si="3"/>
        <v>0</v>
      </c>
      <c r="J53" s="3">
        <v>0</v>
      </c>
      <c r="K53" s="8">
        <v>1000000</v>
      </c>
    </row>
    <row r="54" spans="2:27" x14ac:dyDescent="0.3">
      <c r="B54" s="1">
        <v>40210</v>
      </c>
      <c r="C54">
        <v>15.36</v>
      </c>
      <c r="D54">
        <f t="shared" si="8"/>
        <v>15.599000000000004</v>
      </c>
      <c r="E54">
        <f t="shared" si="7"/>
        <v>0.20079208230769527</v>
      </c>
      <c r="F54">
        <f t="shared" si="0"/>
        <v>15.317891084769231</v>
      </c>
      <c r="G54">
        <f t="shared" si="1"/>
        <v>15.880108915230776</v>
      </c>
      <c r="H54">
        <f t="shared" si="2"/>
        <v>0</v>
      </c>
      <c r="I54">
        <f t="shared" si="3"/>
        <v>0</v>
      </c>
      <c r="J54" s="3">
        <v>0</v>
      </c>
      <c r="K54" s="8">
        <v>1000000</v>
      </c>
    </row>
    <row r="55" spans="2:27" x14ac:dyDescent="0.3">
      <c r="B55" s="1">
        <v>40575</v>
      </c>
      <c r="C55">
        <v>15.36</v>
      </c>
      <c r="D55">
        <f t="shared" si="8"/>
        <v>15.615999999999996</v>
      </c>
      <c r="E55">
        <f t="shared" si="7"/>
        <v>0.20423187213648078</v>
      </c>
      <c r="F55">
        <f t="shared" si="0"/>
        <v>15.330075379008923</v>
      </c>
      <c r="G55">
        <f t="shared" si="1"/>
        <v>15.901924620991069</v>
      </c>
      <c r="H55">
        <f t="shared" si="2"/>
        <v>0</v>
      </c>
      <c r="I55">
        <f t="shared" si="3"/>
        <v>0</v>
      </c>
      <c r="J55" s="3">
        <v>0</v>
      </c>
      <c r="K55" s="8">
        <v>1000000</v>
      </c>
    </row>
    <row r="56" spans="2:27" x14ac:dyDescent="0.3">
      <c r="B56" s="1">
        <v>40940</v>
      </c>
      <c r="C56">
        <v>15.34</v>
      </c>
      <c r="D56">
        <f t="shared" si="8"/>
        <v>15.616</v>
      </c>
      <c r="E56">
        <f t="shared" si="7"/>
        <v>0.20079208230769527</v>
      </c>
      <c r="F56">
        <f t="shared" si="0"/>
        <v>15.334891084769227</v>
      </c>
      <c r="G56">
        <f t="shared" si="1"/>
        <v>15.897108915230772</v>
      </c>
      <c r="H56">
        <f t="shared" si="2"/>
        <v>0</v>
      </c>
      <c r="I56">
        <f t="shared" si="3"/>
        <v>0</v>
      </c>
      <c r="J56" s="3">
        <v>0</v>
      </c>
      <c r="K56" s="8">
        <v>1000000</v>
      </c>
    </row>
    <row r="57" spans="2:27" x14ac:dyDescent="0.3">
      <c r="B57" s="1">
        <v>41306</v>
      </c>
      <c r="C57">
        <v>15.5</v>
      </c>
      <c r="D57">
        <f t="shared" si="8"/>
        <v>15.609</v>
      </c>
      <c r="E57">
        <f t="shared" si="7"/>
        <v>0.20790282048697625</v>
      </c>
      <c r="F57">
        <f t="shared" si="0"/>
        <v>15.317936051318233</v>
      </c>
      <c r="G57">
        <f t="shared" si="1"/>
        <v>15.900063948681767</v>
      </c>
      <c r="H57">
        <f t="shared" si="2"/>
        <v>0</v>
      </c>
      <c r="I57">
        <f t="shared" si="3"/>
        <v>0</v>
      </c>
      <c r="J57" s="3">
        <v>0</v>
      </c>
      <c r="K57" s="8">
        <v>1000000</v>
      </c>
    </row>
    <row r="58" spans="2:27" x14ac:dyDescent="0.3">
      <c r="B58" s="1">
        <v>42401</v>
      </c>
      <c r="C58">
        <v>15.7</v>
      </c>
      <c r="D58">
        <f t="shared" si="8"/>
        <v>15.603</v>
      </c>
      <c r="E58">
        <f t="shared" si="7"/>
        <v>0.2120710957671128</v>
      </c>
      <c r="F58">
        <f t="shared" si="0"/>
        <v>15.306100465926042</v>
      </c>
      <c r="G58">
        <f t="shared" si="1"/>
        <v>15.899899534073958</v>
      </c>
      <c r="H58">
        <f t="shared" si="2"/>
        <v>0</v>
      </c>
      <c r="I58">
        <f t="shared" si="3"/>
        <v>0</v>
      </c>
      <c r="J58" s="3">
        <v>0</v>
      </c>
      <c r="K58" s="8">
        <v>1000000</v>
      </c>
    </row>
    <row r="59" spans="2:27" x14ac:dyDescent="0.3">
      <c r="B59" s="1">
        <v>43132</v>
      </c>
      <c r="C59">
        <v>15.5</v>
      </c>
      <c r="D59">
        <f t="shared" si="8"/>
        <v>15.584999999999999</v>
      </c>
      <c r="E59">
        <f t="shared" si="7"/>
        <v>0.2146008265110575</v>
      </c>
      <c r="F59">
        <f t="shared" ref="F59:F90" si="9">D59-($D$203*E59)</f>
        <v>15.284558842884518</v>
      </c>
      <c r="G59">
        <f t="shared" ref="G59:G90" si="10">D59+($D$203*E59)</f>
        <v>15.88544115711548</v>
      </c>
      <c r="H59">
        <f t="shared" si="2"/>
        <v>0</v>
      </c>
      <c r="I59">
        <f t="shared" si="3"/>
        <v>0</v>
      </c>
      <c r="J59" s="3">
        <v>0</v>
      </c>
      <c r="K59" s="8">
        <v>1000000</v>
      </c>
    </row>
    <row r="60" spans="2:27" x14ac:dyDescent="0.3">
      <c r="B60" s="1">
        <v>43497</v>
      </c>
      <c r="C60">
        <v>15.7</v>
      </c>
      <c r="D60">
        <f t="shared" si="8"/>
        <v>15.581</v>
      </c>
      <c r="E60">
        <f t="shared" si="7"/>
        <v>0.21914283644792015</v>
      </c>
      <c r="F60">
        <f t="shared" si="9"/>
        <v>15.274200028972912</v>
      </c>
      <c r="G60">
        <f t="shared" si="10"/>
        <v>15.887799971027087</v>
      </c>
      <c r="H60">
        <f t="shared" si="2"/>
        <v>0</v>
      </c>
      <c r="I60">
        <f t="shared" si="3"/>
        <v>0</v>
      </c>
      <c r="J60" s="3">
        <v>0</v>
      </c>
      <c r="K60" s="8">
        <v>1000000</v>
      </c>
    </row>
    <row r="61" spans="2:27" x14ac:dyDescent="0.3">
      <c r="B61" s="1">
        <v>43862</v>
      </c>
      <c r="C61">
        <v>15.72</v>
      </c>
      <c r="D61">
        <f t="shared" si="8"/>
        <v>15.574999999999999</v>
      </c>
      <c r="E61">
        <f t="shared" si="7"/>
        <v>0.22344651411736502</v>
      </c>
      <c r="F61">
        <f t="shared" si="9"/>
        <v>15.262174880235689</v>
      </c>
      <c r="G61">
        <f t="shared" si="10"/>
        <v>15.88782511976431</v>
      </c>
      <c r="H61">
        <f t="shared" si="2"/>
        <v>0</v>
      </c>
      <c r="I61">
        <f t="shared" si="3"/>
        <v>0</v>
      </c>
      <c r="J61" s="3">
        <v>0</v>
      </c>
      <c r="K61" s="8">
        <v>1000000</v>
      </c>
    </row>
    <row r="62" spans="2:27" x14ac:dyDescent="0.3">
      <c r="B62" s="1">
        <v>44958</v>
      </c>
      <c r="C62">
        <v>16.02</v>
      </c>
      <c r="D62">
        <f t="shared" si="8"/>
        <v>15.568999999999999</v>
      </c>
      <c r="E62">
        <f t="shared" si="7"/>
        <v>0.2295020736596054</v>
      </c>
      <c r="F62">
        <f t="shared" si="9"/>
        <v>15.247697096876552</v>
      </c>
      <c r="G62">
        <f t="shared" si="10"/>
        <v>15.890302903123446</v>
      </c>
      <c r="H62">
        <f t="shared" si="2"/>
        <v>0</v>
      </c>
      <c r="I62" s="5">
        <f t="shared" si="3"/>
        <v>1</v>
      </c>
      <c r="J62" s="3">
        <v>0</v>
      </c>
      <c r="K62" s="8">
        <v>1000000</v>
      </c>
    </row>
    <row r="63" spans="2:27" x14ac:dyDescent="0.3">
      <c r="B63" s="1">
        <v>45323</v>
      </c>
      <c r="C63">
        <v>16.02</v>
      </c>
      <c r="D63">
        <f t="shared" si="8"/>
        <v>15.55</v>
      </c>
      <c r="E63">
        <f t="shared" si="7"/>
        <v>0.23303187523444818</v>
      </c>
      <c r="F63">
        <f t="shared" si="9"/>
        <v>15.223755374671773</v>
      </c>
      <c r="G63">
        <f t="shared" si="10"/>
        <v>15.876244625328228</v>
      </c>
      <c r="H63">
        <f t="shared" si="2"/>
        <v>0</v>
      </c>
      <c r="I63" s="5">
        <f t="shared" si="3"/>
        <v>1</v>
      </c>
      <c r="J63" s="3">
        <v>0</v>
      </c>
      <c r="K63" s="8">
        <v>1000000</v>
      </c>
    </row>
    <row r="64" spans="2:27" x14ac:dyDescent="0.3">
      <c r="B64" s="1">
        <v>45689</v>
      </c>
      <c r="C64">
        <v>15.9</v>
      </c>
      <c r="D64">
        <f t="shared" si="8"/>
        <v>15.543000000000001</v>
      </c>
      <c r="E64">
        <f t="shared" si="7"/>
        <v>0.26756989889307575</v>
      </c>
      <c r="F64">
        <f t="shared" si="9"/>
        <v>15.168402141549695</v>
      </c>
      <c r="G64">
        <f t="shared" si="10"/>
        <v>15.917597858450307</v>
      </c>
      <c r="H64">
        <f t="shared" si="2"/>
        <v>0</v>
      </c>
      <c r="I64">
        <f t="shared" si="3"/>
        <v>0</v>
      </c>
      <c r="J64" s="3">
        <v>0</v>
      </c>
      <c r="K64" s="8">
        <v>1000000</v>
      </c>
    </row>
    <row r="65" spans="2:11" x14ac:dyDescent="0.3">
      <c r="B65" s="1">
        <v>46054</v>
      </c>
      <c r="C65">
        <v>15.8</v>
      </c>
      <c r="D65">
        <f t="shared" si="8"/>
        <v>15.521000000000004</v>
      </c>
      <c r="E65">
        <f t="shared" si="7"/>
        <v>0.3044730774227557</v>
      </c>
      <c r="F65">
        <f t="shared" si="9"/>
        <v>15.094737691608147</v>
      </c>
      <c r="G65">
        <f t="shared" si="10"/>
        <v>15.947262308391862</v>
      </c>
      <c r="H65">
        <f t="shared" si="2"/>
        <v>0</v>
      </c>
      <c r="I65">
        <f t="shared" si="3"/>
        <v>0</v>
      </c>
      <c r="J65" s="3">
        <v>0</v>
      </c>
      <c r="K65" s="8">
        <v>1000000</v>
      </c>
    </row>
    <row r="66" spans="2:11" x14ac:dyDescent="0.3">
      <c r="B66" s="1">
        <v>46419</v>
      </c>
      <c r="C66">
        <v>15.56</v>
      </c>
      <c r="D66">
        <f t="shared" si="8"/>
        <v>15.494</v>
      </c>
      <c r="E66">
        <f t="shared" si="7"/>
        <v>0.30368559944563972</v>
      </c>
      <c r="F66">
        <f t="shared" si="9"/>
        <v>15.068840160776103</v>
      </c>
      <c r="G66">
        <f t="shared" si="10"/>
        <v>15.919159839223896</v>
      </c>
      <c r="H66">
        <f t="shared" si="2"/>
        <v>0</v>
      </c>
      <c r="I66">
        <f t="shared" si="3"/>
        <v>0</v>
      </c>
      <c r="J66" s="3">
        <v>0</v>
      </c>
      <c r="K66" s="8">
        <v>1000000</v>
      </c>
    </row>
    <row r="67" spans="2:11" x14ac:dyDescent="0.3">
      <c r="B67" s="1">
        <v>37316</v>
      </c>
      <c r="C67">
        <v>15.34</v>
      </c>
      <c r="D67">
        <f t="shared" si="8"/>
        <v>15.506</v>
      </c>
      <c r="E67">
        <f t="shared" si="7"/>
        <v>0.30170791239059824</v>
      </c>
      <c r="F67">
        <f t="shared" si="9"/>
        <v>15.083608922653163</v>
      </c>
      <c r="G67">
        <f t="shared" si="10"/>
        <v>15.928391077346838</v>
      </c>
      <c r="H67">
        <f t="shared" si="2"/>
        <v>0</v>
      </c>
      <c r="I67">
        <f t="shared" si="3"/>
        <v>0</v>
      </c>
      <c r="J67" s="3">
        <v>0</v>
      </c>
      <c r="K67" s="8">
        <v>1000000</v>
      </c>
    </row>
    <row r="68" spans="2:11" x14ac:dyDescent="0.3">
      <c r="B68" s="1">
        <v>37681</v>
      </c>
      <c r="C68">
        <v>15.36</v>
      </c>
      <c r="D68">
        <f t="shared" si="8"/>
        <v>15.508000000000001</v>
      </c>
      <c r="E68">
        <f t="shared" si="7"/>
        <v>0.30493744944260665</v>
      </c>
      <c r="F68">
        <f t="shared" si="9"/>
        <v>15.081087570780351</v>
      </c>
      <c r="G68">
        <f t="shared" si="10"/>
        <v>15.934912429219651</v>
      </c>
      <c r="H68">
        <f t="shared" si="2"/>
        <v>0</v>
      </c>
      <c r="I68">
        <f t="shared" si="3"/>
        <v>0</v>
      </c>
      <c r="J68" s="3">
        <v>0</v>
      </c>
      <c r="K68" s="8">
        <v>1000000</v>
      </c>
    </row>
    <row r="69" spans="2:11" x14ac:dyDescent="0.3">
      <c r="B69" s="1">
        <v>38047</v>
      </c>
      <c r="C69">
        <v>15.38</v>
      </c>
      <c r="D69">
        <f t="shared" si="8"/>
        <v>15.488000000000003</v>
      </c>
      <c r="E69">
        <f t="shared" si="7"/>
        <v>0.30422273735357525</v>
      </c>
      <c r="F69">
        <f t="shared" si="9"/>
        <v>15.062088167704998</v>
      </c>
      <c r="G69">
        <f t="shared" si="10"/>
        <v>15.913911832295009</v>
      </c>
      <c r="H69">
        <f t="shared" si="2"/>
        <v>0</v>
      </c>
      <c r="I69">
        <f t="shared" si="3"/>
        <v>0</v>
      </c>
      <c r="J69" s="3">
        <v>0</v>
      </c>
      <c r="K69" s="8">
        <v>1000000</v>
      </c>
    </row>
    <row r="70" spans="2:11" x14ac:dyDescent="0.3">
      <c r="B70" s="1">
        <v>38412</v>
      </c>
      <c r="C70">
        <v>15.34</v>
      </c>
      <c r="D70">
        <f t="shared" si="8"/>
        <v>15.478000000000003</v>
      </c>
      <c r="E70">
        <f t="shared" si="7"/>
        <v>0.30709523440326653</v>
      </c>
      <c r="F70">
        <f t="shared" si="9"/>
        <v>15.04806667183543</v>
      </c>
      <c r="G70">
        <f t="shared" si="10"/>
        <v>15.907933328164576</v>
      </c>
      <c r="H70">
        <f t="shared" si="2"/>
        <v>0</v>
      </c>
      <c r="I70">
        <f t="shared" si="3"/>
        <v>0</v>
      </c>
      <c r="J70" s="3">
        <v>0</v>
      </c>
      <c r="K70" s="8">
        <v>1000000</v>
      </c>
    </row>
    <row r="71" spans="2:11" x14ac:dyDescent="0.3">
      <c r="B71" s="1">
        <v>38777</v>
      </c>
      <c r="C71">
        <v>15.34</v>
      </c>
      <c r="D71">
        <f t="shared" si="8"/>
        <v>15.457000000000003</v>
      </c>
      <c r="E71">
        <f t="shared" si="7"/>
        <v>0.30504153837806153</v>
      </c>
      <c r="F71">
        <f t="shared" si="9"/>
        <v>15.029941846270717</v>
      </c>
      <c r="G71">
        <f t="shared" si="10"/>
        <v>15.884058153729288</v>
      </c>
      <c r="H71">
        <f t="shared" si="2"/>
        <v>0</v>
      </c>
      <c r="I71">
        <f t="shared" si="3"/>
        <v>0</v>
      </c>
      <c r="J71" s="3">
        <v>0</v>
      </c>
      <c r="K71" s="8">
        <v>1000000</v>
      </c>
    </row>
    <row r="72" spans="2:11" x14ac:dyDescent="0.3">
      <c r="B72" s="1">
        <v>39873</v>
      </c>
      <c r="C72">
        <v>15.3</v>
      </c>
      <c r="D72">
        <f t="shared" si="8"/>
        <v>15.434999999999997</v>
      </c>
      <c r="E72">
        <f t="shared" si="7"/>
        <v>0.30032182284827641</v>
      </c>
      <c r="F72">
        <f t="shared" si="9"/>
        <v>15.01454944801241</v>
      </c>
      <c r="G72">
        <f t="shared" si="10"/>
        <v>15.855450551987584</v>
      </c>
      <c r="H72">
        <f t="shared" si="2"/>
        <v>0</v>
      </c>
      <c r="I72">
        <f>IF(C72&gt;=G72, 1, 0)</f>
        <v>0</v>
      </c>
      <c r="J72" s="3">
        <v>0</v>
      </c>
      <c r="K72" s="8">
        <v>1000000</v>
      </c>
    </row>
    <row r="73" spans="2:11" x14ac:dyDescent="0.3">
      <c r="B73" s="1">
        <v>40238</v>
      </c>
      <c r="C73">
        <v>15.32</v>
      </c>
      <c r="D73">
        <f t="shared" si="8"/>
        <v>15.398999999999997</v>
      </c>
      <c r="E73">
        <f t="shared" si="7"/>
        <v>0.27082472513792333</v>
      </c>
      <c r="F73">
        <f t="shared" si="9"/>
        <v>15.019845384806905</v>
      </c>
      <c r="G73">
        <f t="shared" si="10"/>
        <v>15.77815461519309</v>
      </c>
      <c r="H73">
        <f t="shared" si="2"/>
        <v>0</v>
      </c>
      <c r="I73">
        <f t="shared" si="3"/>
        <v>0</v>
      </c>
      <c r="J73" s="3">
        <v>0</v>
      </c>
      <c r="K73" s="8">
        <v>1000000</v>
      </c>
    </row>
    <row r="74" spans="2:11" x14ac:dyDescent="0.3">
      <c r="B74" s="1">
        <v>40603</v>
      </c>
      <c r="C74">
        <v>14.92</v>
      </c>
      <c r="D74">
        <f t="shared" si="8"/>
        <v>15.361999999999998</v>
      </c>
      <c r="E74">
        <f t="shared" si="7"/>
        <v>0.23213101312887055</v>
      </c>
      <c r="F74">
        <f t="shared" si="9"/>
        <v>15.037016581619579</v>
      </c>
      <c r="G74">
        <f t="shared" si="10"/>
        <v>15.686983418380418</v>
      </c>
      <c r="H74" s="6">
        <f t="shared" si="2"/>
        <v>1</v>
      </c>
      <c r="I74">
        <f t="shared" si="3"/>
        <v>0</v>
      </c>
      <c r="J74" s="4">
        <f>1000000/C74</f>
        <v>67024.12868632708</v>
      </c>
      <c r="K74" s="8">
        <v>0</v>
      </c>
    </row>
    <row r="75" spans="2:11" x14ac:dyDescent="0.3">
      <c r="B75" s="1">
        <v>40969</v>
      </c>
      <c r="C75">
        <v>14.82</v>
      </c>
      <c r="D75">
        <f t="shared" si="8"/>
        <v>15.331999999999999</v>
      </c>
      <c r="E75">
        <f t="shared" si="7"/>
        <v>0.19843377665816092</v>
      </c>
      <c r="F75">
        <f t="shared" si="9"/>
        <v>15.054192712678574</v>
      </c>
      <c r="G75">
        <f t="shared" si="10"/>
        <v>15.609807287321424</v>
      </c>
      <c r="H75" s="6">
        <f t="shared" si="2"/>
        <v>1</v>
      </c>
      <c r="I75">
        <f t="shared" si="3"/>
        <v>0</v>
      </c>
      <c r="J75" s="3">
        <f>J74</f>
        <v>67024.12868632708</v>
      </c>
      <c r="K75" s="8">
        <v>0</v>
      </c>
    </row>
    <row r="76" spans="2:11" x14ac:dyDescent="0.3">
      <c r="B76" s="1">
        <v>41334</v>
      </c>
      <c r="C76">
        <v>15.58</v>
      </c>
      <c r="D76">
        <f t="shared" si="8"/>
        <v>15.305999999999997</v>
      </c>
      <c r="E76">
        <f t="shared" si="7"/>
        <v>0.16834259420878397</v>
      </c>
      <c r="F76">
        <f t="shared" si="9"/>
        <v>15.0703203681077</v>
      </c>
      <c r="G76">
        <f t="shared" si="10"/>
        <v>15.541679631892295</v>
      </c>
      <c r="H76">
        <f t="shared" si="2"/>
        <v>0</v>
      </c>
      <c r="I76" s="5">
        <f t="shared" si="3"/>
        <v>1</v>
      </c>
      <c r="J76" s="3">
        <v>0</v>
      </c>
      <c r="K76" s="9">
        <f xml:space="preserve"> J74*C76</f>
        <v>1044235.9249329759</v>
      </c>
    </row>
    <row r="77" spans="2:11" x14ac:dyDescent="0.3">
      <c r="B77" s="1">
        <v>42430</v>
      </c>
      <c r="C77">
        <v>15.54</v>
      </c>
      <c r="D77">
        <f t="shared" si="8"/>
        <v>15.291999999999998</v>
      </c>
      <c r="E77">
        <f t="shared" si="7"/>
        <v>0.21866633482636172</v>
      </c>
      <c r="F77">
        <f t="shared" si="9"/>
        <v>14.985867131243092</v>
      </c>
      <c r="G77">
        <f t="shared" si="10"/>
        <v>15.598132868756904</v>
      </c>
      <c r="H77">
        <f t="shared" si="2"/>
        <v>0</v>
      </c>
      <c r="I77">
        <f t="shared" si="3"/>
        <v>0</v>
      </c>
      <c r="J77" s="3">
        <v>0</v>
      </c>
      <c r="K77" s="8">
        <f>K76</f>
        <v>1044235.9249329759</v>
      </c>
    </row>
    <row r="78" spans="2:11" x14ac:dyDescent="0.3">
      <c r="B78" s="1">
        <v>42795</v>
      </c>
      <c r="C78">
        <v>15.3</v>
      </c>
      <c r="D78">
        <f t="shared" si="8"/>
        <v>15.324999999999999</v>
      </c>
      <c r="E78">
        <f t="shared" si="7"/>
        <v>0.22112062560005483</v>
      </c>
      <c r="F78">
        <f t="shared" si="9"/>
        <v>15.015431124159923</v>
      </c>
      <c r="G78">
        <f t="shared" si="10"/>
        <v>15.634568875840076</v>
      </c>
      <c r="H78">
        <f t="shared" si="2"/>
        <v>0</v>
      </c>
      <c r="I78">
        <f t="shared" si="3"/>
        <v>0</v>
      </c>
      <c r="J78" s="3">
        <v>0</v>
      </c>
      <c r="K78" s="8">
        <f t="shared" ref="K78:K89" si="11">K77</f>
        <v>1044235.9249329759</v>
      </c>
    </row>
    <row r="79" spans="2:11" x14ac:dyDescent="0.3">
      <c r="B79" s="1">
        <v>43160</v>
      </c>
      <c r="C79">
        <v>15.3</v>
      </c>
      <c r="D79">
        <f t="shared" si="8"/>
        <v>15.331000000000003</v>
      </c>
      <c r="E79">
        <f t="shared" si="7"/>
        <v>0.22394524760061887</v>
      </c>
      <c r="F79">
        <f t="shared" si="9"/>
        <v>15.017476653359136</v>
      </c>
      <c r="G79">
        <f t="shared" si="10"/>
        <v>15.64452334664087</v>
      </c>
      <c r="H79">
        <f t="shared" si="2"/>
        <v>0</v>
      </c>
      <c r="I79">
        <f t="shared" si="3"/>
        <v>0</v>
      </c>
      <c r="J79" s="3">
        <v>0</v>
      </c>
      <c r="K79" s="8">
        <f t="shared" si="11"/>
        <v>1044235.9249329759</v>
      </c>
    </row>
    <row r="80" spans="2:11" x14ac:dyDescent="0.3">
      <c r="B80" s="1">
        <v>43525</v>
      </c>
      <c r="C80">
        <v>15.28</v>
      </c>
      <c r="D80">
        <f t="shared" si="8"/>
        <v>15.337000000000003</v>
      </c>
      <c r="E80">
        <f t="shared" si="7"/>
        <v>0.2276569006182175</v>
      </c>
      <c r="F80">
        <f t="shared" si="9"/>
        <v>15.018280339134499</v>
      </c>
      <c r="G80">
        <f t="shared" si="10"/>
        <v>15.655719660865508</v>
      </c>
      <c r="H80">
        <f t="shared" si="2"/>
        <v>0</v>
      </c>
      <c r="I80">
        <f t="shared" si="3"/>
        <v>0</v>
      </c>
      <c r="J80" s="3">
        <v>0</v>
      </c>
      <c r="K80" s="8">
        <f t="shared" si="11"/>
        <v>1044235.9249329759</v>
      </c>
    </row>
    <row r="81" spans="2:11" x14ac:dyDescent="0.3">
      <c r="B81" s="1">
        <v>44986</v>
      </c>
      <c r="C81">
        <v>15.28</v>
      </c>
      <c r="D81">
        <f t="shared" si="8"/>
        <v>15.327000000000002</v>
      </c>
      <c r="E81">
        <f t="shared" si="7"/>
        <v>0.22939534045446996</v>
      </c>
      <c r="F81">
        <f t="shared" si="9"/>
        <v>15.005846523363743</v>
      </c>
      <c r="G81">
        <f t="shared" si="10"/>
        <v>15.64815347663626</v>
      </c>
      <c r="H81">
        <f t="shared" si="2"/>
        <v>0</v>
      </c>
      <c r="I81">
        <f t="shared" si="3"/>
        <v>0</v>
      </c>
      <c r="J81" s="3">
        <v>0</v>
      </c>
      <c r="K81" s="8">
        <f t="shared" si="11"/>
        <v>1044235.9249329759</v>
      </c>
    </row>
    <row r="82" spans="2:11" x14ac:dyDescent="0.3">
      <c r="B82" s="1">
        <v>45352</v>
      </c>
      <c r="C82">
        <v>15.3</v>
      </c>
      <c r="D82">
        <f t="shared" si="8"/>
        <v>15.332999999999998</v>
      </c>
      <c r="E82">
        <f t="shared" si="7"/>
        <v>0.23051947645468762</v>
      </c>
      <c r="F82">
        <f t="shared" si="9"/>
        <v>15.010272732963436</v>
      </c>
      <c r="G82">
        <f t="shared" si="10"/>
        <v>15.655727267036561</v>
      </c>
      <c r="H82">
        <f t="shared" si="2"/>
        <v>0</v>
      </c>
      <c r="I82">
        <f t="shared" si="3"/>
        <v>0</v>
      </c>
      <c r="J82" s="3">
        <v>0</v>
      </c>
      <c r="K82" s="8">
        <f t="shared" si="11"/>
        <v>1044235.9249329759</v>
      </c>
    </row>
    <row r="83" spans="2:11" x14ac:dyDescent="0.3">
      <c r="B83" s="1">
        <v>45717</v>
      </c>
      <c r="C83">
        <v>15.28</v>
      </c>
      <c r="D83">
        <f t="shared" si="8"/>
        <v>15.339999999999998</v>
      </c>
      <c r="E83">
        <f t="shared" si="7"/>
        <v>0.23051947645468771</v>
      </c>
      <c r="F83">
        <f t="shared" si="9"/>
        <v>15.017272732963436</v>
      </c>
      <c r="G83">
        <f t="shared" si="10"/>
        <v>15.66272726703656</v>
      </c>
      <c r="H83">
        <f t="shared" si="2"/>
        <v>0</v>
      </c>
      <c r="I83">
        <f t="shared" si="3"/>
        <v>0</v>
      </c>
      <c r="J83" s="3">
        <v>0</v>
      </c>
      <c r="K83" s="8">
        <f t="shared" si="11"/>
        <v>1044235.9249329759</v>
      </c>
    </row>
    <row r="84" spans="2:11" x14ac:dyDescent="0.3">
      <c r="B84" s="1">
        <v>46082</v>
      </c>
      <c r="C84">
        <v>15.3</v>
      </c>
      <c r="D84">
        <f t="shared" si="8"/>
        <v>15.342999999999998</v>
      </c>
      <c r="E84">
        <f t="shared" si="7"/>
        <v>0.2307868822832303</v>
      </c>
      <c r="F84">
        <f t="shared" si="9"/>
        <v>15.019898364803476</v>
      </c>
      <c r="G84">
        <f t="shared" si="10"/>
        <v>15.666101635196521</v>
      </c>
      <c r="H84">
        <f t="shared" si="2"/>
        <v>0</v>
      </c>
      <c r="I84">
        <f t="shared" si="3"/>
        <v>0</v>
      </c>
      <c r="J84" s="3">
        <v>0</v>
      </c>
      <c r="K84" s="8">
        <f t="shared" si="11"/>
        <v>1044235.9249329759</v>
      </c>
    </row>
    <row r="85" spans="2:11" x14ac:dyDescent="0.3">
      <c r="B85" s="1">
        <v>46447</v>
      </c>
      <c r="C85">
        <v>15.28</v>
      </c>
      <c r="D85">
        <f t="shared" si="8"/>
        <v>15.366999999999996</v>
      </c>
      <c r="E85">
        <f t="shared" si="7"/>
        <v>0.21047834517319838</v>
      </c>
      <c r="F85">
        <f t="shared" si="9"/>
        <v>15.072330316757517</v>
      </c>
      <c r="G85">
        <f t="shared" si="10"/>
        <v>15.661669683242474</v>
      </c>
      <c r="H85">
        <f t="shared" si="2"/>
        <v>0</v>
      </c>
      <c r="I85">
        <f t="shared" si="3"/>
        <v>0</v>
      </c>
      <c r="J85" s="3">
        <v>0</v>
      </c>
      <c r="K85" s="8">
        <f t="shared" si="11"/>
        <v>1044235.9249329759</v>
      </c>
    </row>
    <row r="86" spans="2:11" x14ac:dyDescent="0.3">
      <c r="B86" s="1">
        <v>47543</v>
      </c>
      <c r="C86">
        <v>15.28</v>
      </c>
      <c r="D86">
        <f t="shared" si="8"/>
        <v>15.391999999999999</v>
      </c>
      <c r="E86">
        <f t="shared" si="7"/>
        <v>0.17165593388283493</v>
      </c>
      <c r="F86">
        <f t="shared" si="9"/>
        <v>15.151681692564031</v>
      </c>
      <c r="G86">
        <f t="shared" si="10"/>
        <v>15.632318307435968</v>
      </c>
      <c r="H86">
        <f t="shared" si="2"/>
        <v>0</v>
      </c>
      <c r="I86">
        <f t="shared" si="3"/>
        <v>0</v>
      </c>
      <c r="J86" s="3">
        <v>0</v>
      </c>
      <c r="K86" s="8">
        <f t="shared" si="11"/>
        <v>1044235.9249329759</v>
      </c>
    </row>
    <row r="87" spans="2:11" x14ac:dyDescent="0.3">
      <c r="B87" s="1">
        <v>47908</v>
      </c>
      <c r="C87">
        <v>16</v>
      </c>
      <c r="D87">
        <f t="shared" si="8"/>
        <v>15.382999999999999</v>
      </c>
      <c r="E87">
        <f t="shared" si="7"/>
        <v>0.16738620190914527</v>
      </c>
      <c r="F87">
        <f t="shared" si="9"/>
        <v>15.148659317327196</v>
      </c>
      <c r="G87">
        <f t="shared" si="10"/>
        <v>15.617340682672802</v>
      </c>
      <c r="H87">
        <f t="shared" si="2"/>
        <v>0</v>
      </c>
      <c r="I87" s="5">
        <f t="shared" si="3"/>
        <v>1</v>
      </c>
      <c r="J87" s="3">
        <v>0</v>
      </c>
      <c r="K87" s="8">
        <f t="shared" si="11"/>
        <v>1044235.9249329759</v>
      </c>
    </row>
    <row r="88" spans="2:11" x14ac:dyDescent="0.3">
      <c r="B88" s="1">
        <v>36982</v>
      </c>
      <c r="C88">
        <v>15.48</v>
      </c>
      <c r="D88">
        <f t="shared" si="8"/>
        <v>15.370999999999999</v>
      </c>
      <c r="E88">
        <f t="shared" si="7"/>
        <v>0.16416904069556626</v>
      </c>
      <c r="F88">
        <f t="shared" si="9"/>
        <v>15.141163343026205</v>
      </c>
      <c r="G88">
        <f t="shared" si="10"/>
        <v>15.600836656973792</v>
      </c>
      <c r="H88">
        <f t="shared" si="2"/>
        <v>0</v>
      </c>
      <c r="I88">
        <f t="shared" si="3"/>
        <v>0</v>
      </c>
      <c r="J88" s="3">
        <v>0</v>
      </c>
      <c r="K88" s="8">
        <f t="shared" si="11"/>
        <v>1044235.9249329759</v>
      </c>
    </row>
    <row r="89" spans="2:11" x14ac:dyDescent="0.3">
      <c r="B89" s="1">
        <v>38808</v>
      </c>
      <c r="C89">
        <v>15.5</v>
      </c>
      <c r="D89">
        <f t="shared" si="8"/>
        <v>15.371</v>
      </c>
      <c r="E89">
        <f t="shared" si="7"/>
        <v>0.16358788993206771</v>
      </c>
      <c r="F89">
        <f t="shared" si="9"/>
        <v>15.141976954095105</v>
      </c>
      <c r="G89">
        <f t="shared" si="10"/>
        <v>15.600023045904896</v>
      </c>
      <c r="H89">
        <f t="shared" si="2"/>
        <v>0</v>
      </c>
      <c r="I89">
        <f t="shared" si="3"/>
        <v>0</v>
      </c>
      <c r="J89" s="3">
        <v>0</v>
      </c>
      <c r="K89" s="8">
        <f t="shared" si="11"/>
        <v>1044235.9249329759</v>
      </c>
    </row>
    <row r="90" spans="2:11" x14ac:dyDescent="0.3">
      <c r="B90" s="1">
        <v>39173</v>
      </c>
      <c r="C90">
        <v>15.14</v>
      </c>
      <c r="D90">
        <f t="shared" si="8"/>
        <v>15.375999999999999</v>
      </c>
      <c r="E90">
        <f t="shared" si="7"/>
        <v>0.16358788993206771</v>
      </c>
      <c r="F90">
        <f t="shared" si="9"/>
        <v>15.146976954095104</v>
      </c>
      <c r="G90">
        <f t="shared" si="10"/>
        <v>15.605023045904895</v>
      </c>
      <c r="H90" s="6">
        <f t="shared" si="2"/>
        <v>1</v>
      </c>
      <c r="I90">
        <f t="shared" si="3"/>
        <v>0</v>
      </c>
      <c r="J90" s="4">
        <f>K76/C90</f>
        <v>68971.989757792326</v>
      </c>
      <c r="K90" s="8">
        <f>K76-(C90*J90)</f>
        <v>0</v>
      </c>
    </row>
    <row r="91" spans="2:11" x14ac:dyDescent="0.3">
      <c r="B91" s="1">
        <v>39539</v>
      </c>
      <c r="C91">
        <v>15.46</v>
      </c>
      <c r="D91">
        <f t="shared" si="8"/>
        <v>15.376999999999999</v>
      </c>
      <c r="E91">
        <f t="shared" si="7"/>
        <v>0.16273178132455021</v>
      </c>
      <c r="F91">
        <f t="shared" ref="F91:F122" si="12">D91-($D$203*E91)</f>
        <v>15.149175506145628</v>
      </c>
      <c r="G91">
        <f t="shared" ref="G91:G122" si="13">D91+($D$203*E91)</f>
        <v>15.60482449385437</v>
      </c>
      <c r="H91">
        <f t="shared" si="2"/>
        <v>0</v>
      </c>
      <c r="I91">
        <f t="shared" si="3"/>
        <v>0</v>
      </c>
      <c r="J91" s="3">
        <f>J90</f>
        <v>68971.989757792326</v>
      </c>
      <c r="K91" s="8">
        <f>K90</f>
        <v>0</v>
      </c>
    </row>
    <row r="92" spans="2:11" x14ac:dyDescent="0.3">
      <c r="B92" s="1">
        <v>40269</v>
      </c>
      <c r="C92">
        <v>15.44</v>
      </c>
      <c r="D92">
        <f t="shared" si="8"/>
        <v>15.379</v>
      </c>
      <c r="E92">
        <f t="shared" si="7"/>
        <v>0.16273178132455021</v>
      </c>
      <c r="F92">
        <f t="shared" si="12"/>
        <v>15.151175506145629</v>
      </c>
      <c r="G92">
        <f t="shared" si="13"/>
        <v>15.60682449385437</v>
      </c>
      <c r="H92">
        <f t="shared" ref="H92:H155" si="14">IF(C92&lt;=F92, 1, 0)</f>
        <v>0</v>
      </c>
      <c r="I92">
        <f t="shared" ref="I92:I155" si="15">IF(C92&gt;=G92, 1, 0)</f>
        <v>0</v>
      </c>
      <c r="J92" s="3">
        <f t="shared" ref="J92:J111" si="16">J91</f>
        <v>68971.989757792326</v>
      </c>
      <c r="K92" s="8">
        <f t="shared" ref="K92:K111" si="17">K91</f>
        <v>0</v>
      </c>
    </row>
    <row r="93" spans="2:11" x14ac:dyDescent="0.3">
      <c r="B93" s="1">
        <v>41365</v>
      </c>
      <c r="C93">
        <v>15.38</v>
      </c>
      <c r="D93">
        <f t="shared" si="8"/>
        <v>15.378</v>
      </c>
      <c r="E93">
        <f t="shared" si="7"/>
        <v>0.16452777198729104</v>
      </c>
      <c r="F93">
        <f t="shared" si="12"/>
        <v>15.147661119217792</v>
      </c>
      <c r="G93">
        <f t="shared" si="13"/>
        <v>15.608338880782208</v>
      </c>
      <c r="H93">
        <f t="shared" si="14"/>
        <v>0</v>
      </c>
      <c r="I93">
        <f t="shared" si="15"/>
        <v>0</v>
      </c>
      <c r="J93" s="3">
        <f t="shared" si="16"/>
        <v>68971.989757792326</v>
      </c>
      <c r="K93" s="8">
        <f t="shared" si="17"/>
        <v>0</v>
      </c>
    </row>
    <row r="94" spans="2:11" x14ac:dyDescent="0.3">
      <c r="B94" s="1">
        <v>41730</v>
      </c>
      <c r="C94">
        <v>15.4</v>
      </c>
      <c r="D94">
        <f t="shared" si="8"/>
        <v>15.375999999999999</v>
      </c>
      <c r="E94">
        <f t="shared" si="7"/>
        <v>0.16405297523911974</v>
      </c>
      <c r="F94">
        <f t="shared" si="12"/>
        <v>15.146325834665232</v>
      </c>
      <c r="G94">
        <f t="shared" si="13"/>
        <v>15.605674165334767</v>
      </c>
      <c r="H94">
        <f t="shared" si="14"/>
        <v>0</v>
      </c>
      <c r="I94">
        <f t="shared" si="15"/>
        <v>0</v>
      </c>
      <c r="J94" s="3">
        <f t="shared" si="16"/>
        <v>68971.989757792326</v>
      </c>
      <c r="K94" s="8">
        <f t="shared" si="17"/>
        <v>0</v>
      </c>
    </row>
    <row r="95" spans="2:11" x14ac:dyDescent="0.3">
      <c r="B95" s="1">
        <v>42095</v>
      </c>
      <c r="C95">
        <v>15.32</v>
      </c>
      <c r="D95">
        <f t="shared" si="8"/>
        <v>15.376000000000001</v>
      </c>
      <c r="E95">
        <f t="shared" si="7"/>
        <v>0.16452777198729104</v>
      </c>
      <c r="F95">
        <f t="shared" si="12"/>
        <v>15.145661119217793</v>
      </c>
      <c r="G95">
        <f t="shared" si="13"/>
        <v>15.606338880782209</v>
      </c>
      <c r="H95">
        <f t="shared" si="14"/>
        <v>0</v>
      </c>
      <c r="I95">
        <f t="shared" si="15"/>
        <v>0</v>
      </c>
      <c r="J95" s="3">
        <f t="shared" si="16"/>
        <v>68971.989757792326</v>
      </c>
      <c r="K95" s="8">
        <f t="shared" si="17"/>
        <v>0</v>
      </c>
    </row>
    <row r="96" spans="2:11" x14ac:dyDescent="0.3">
      <c r="B96" s="1">
        <v>42461</v>
      </c>
      <c r="C96">
        <v>15.4</v>
      </c>
      <c r="D96">
        <f t="shared" si="8"/>
        <v>15.376000000000001</v>
      </c>
      <c r="E96">
        <f t="shared" si="7"/>
        <v>0.16659862556700852</v>
      </c>
      <c r="F96">
        <f t="shared" si="12"/>
        <v>15.142761924206189</v>
      </c>
      <c r="G96">
        <f t="shared" si="13"/>
        <v>15.609238075793813</v>
      </c>
      <c r="H96">
        <f t="shared" si="14"/>
        <v>0</v>
      </c>
      <c r="I96">
        <f t="shared" si="15"/>
        <v>0</v>
      </c>
      <c r="J96" s="3">
        <f t="shared" si="16"/>
        <v>68971.989757792326</v>
      </c>
      <c r="K96" s="8">
        <f t="shared" si="17"/>
        <v>0</v>
      </c>
    </row>
    <row r="97" spans="2:11" x14ac:dyDescent="0.3">
      <c r="B97" s="1">
        <v>42826</v>
      </c>
      <c r="C97">
        <v>15.3</v>
      </c>
      <c r="D97">
        <f t="shared" si="8"/>
        <v>15.373000000000001</v>
      </c>
      <c r="E97">
        <f t="shared" si="7"/>
        <v>0.17947770028045024</v>
      </c>
      <c r="F97">
        <f t="shared" si="12"/>
        <v>15.121731219607371</v>
      </c>
      <c r="G97">
        <f t="shared" si="13"/>
        <v>15.624268780392631</v>
      </c>
      <c r="H97">
        <f t="shared" si="14"/>
        <v>0</v>
      </c>
      <c r="I97">
        <f t="shared" si="15"/>
        <v>0</v>
      </c>
      <c r="J97" s="3">
        <f t="shared" si="16"/>
        <v>68971.989757792326</v>
      </c>
      <c r="K97" s="8">
        <f t="shared" si="17"/>
        <v>0</v>
      </c>
    </row>
    <row r="98" spans="2:11" x14ac:dyDescent="0.3">
      <c r="B98" s="1">
        <v>43922</v>
      </c>
      <c r="C98">
        <v>15.3</v>
      </c>
      <c r="D98">
        <f t="shared" si="8"/>
        <v>15.358000000000001</v>
      </c>
      <c r="E98">
        <f t="shared" si="7"/>
        <v>0.11914281907806464</v>
      </c>
      <c r="F98">
        <f t="shared" si="12"/>
        <v>15.191200053290711</v>
      </c>
      <c r="G98">
        <f t="shared" si="13"/>
        <v>15.52479994670929</v>
      </c>
      <c r="H98">
        <f t="shared" si="14"/>
        <v>0</v>
      </c>
      <c r="I98">
        <f t="shared" si="15"/>
        <v>0</v>
      </c>
      <c r="J98" s="3">
        <f t="shared" si="16"/>
        <v>68971.989757792326</v>
      </c>
      <c r="K98" s="8">
        <f t="shared" si="17"/>
        <v>0</v>
      </c>
    </row>
    <row r="99" spans="2:11" x14ac:dyDescent="0.3">
      <c r="B99" s="1">
        <v>44287</v>
      </c>
      <c r="C99">
        <v>15.4</v>
      </c>
      <c r="D99">
        <f t="shared" si="8"/>
        <v>15.358000000000004</v>
      </c>
      <c r="E99">
        <f t="shared" si="7"/>
        <v>0.11828709453991101</v>
      </c>
      <c r="F99">
        <f t="shared" si="12"/>
        <v>15.192398067644129</v>
      </c>
      <c r="G99">
        <f t="shared" si="13"/>
        <v>15.523601932355879</v>
      </c>
      <c r="H99">
        <f t="shared" si="14"/>
        <v>0</v>
      </c>
      <c r="I99">
        <f t="shared" si="15"/>
        <v>0</v>
      </c>
      <c r="J99" s="3">
        <f t="shared" si="16"/>
        <v>68971.989757792326</v>
      </c>
      <c r="K99" s="8">
        <f t="shared" si="17"/>
        <v>0</v>
      </c>
    </row>
    <row r="100" spans="2:11" x14ac:dyDescent="0.3">
      <c r="B100" s="1">
        <v>44652</v>
      </c>
      <c r="C100">
        <v>15.3</v>
      </c>
      <c r="D100">
        <f t="shared" si="8"/>
        <v>15.356000000000003</v>
      </c>
      <c r="E100">
        <f t="shared" si="7"/>
        <v>0.13805910857425321</v>
      </c>
      <c r="F100">
        <f t="shared" si="12"/>
        <v>15.162717247996049</v>
      </c>
      <c r="G100">
        <f t="shared" si="13"/>
        <v>15.549282752003958</v>
      </c>
      <c r="H100">
        <f t="shared" si="14"/>
        <v>0</v>
      </c>
      <c r="I100">
        <f t="shared" si="15"/>
        <v>0</v>
      </c>
      <c r="J100" s="3">
        <f t="shared" si="16"/>
        <v>68971.989757792326</v>
      </c>
      <c r="K100" s="8">
        <f t="shared" si="17"/>
        <v>0</v>
      </c>
    </row>
    <row r="101" spans="2:11" x14ac:dyDescent="0.3">
      <c r="B101" s="1">
        <v>45017</v>
      </c>
      <c r="C101">
        <v>15.32</v>
      </c>
      <c r="D101">
        <f t="shared" si="8"/>
        <v>15.385000000000002</v>
      </c>
      <c r="E101">
        <f t="shared" si="7"/>
        <v>0.14242474242994368</v>
      </c>
      <c r="F101">
        <f t="shared" si="12"/>
        <v>15.18560536059808</v>
      </c>
      <c r="G101">
        <f t="shared" si="13"/>
        <v>15.584394639401923</v>
      </c>
      <c r="H101">
        <f t="shared" si="14"/>
        <v>0</v>
      </c>
      <c r="I101">
        <f t="shared" si="15"/>
        <v>0</v>
      </c>
      <c r="J101" s="3">
        <f t="shared" si="16"/>
        <v>68971.989757792326</v>
      </c>
      <c r="K101" s="8">
        <f t="shared" si="17"/>
        <v>0</v>
      </c>
    </row>
    <row r="102" spans="2:11" x14ac:dyDescent="0.3">
      <c r="B102" s="1">
        <v>45383</v>
      </c>
      <c r="C102">
        <v>15.28</v>
      </c>
      <c r="D102">
        <f t="shared" si="8"/>
        <v>15.396000000000001</v>
      </c>
      <c r="E102">
        <f t="shared" si="7"/>
        <v>0.17280925481221418</v>
      </c>
      <c r="F102">
        <f t="shared" si="12"/>
        <v>15.1540670432629</v>
      </c>
      <c r="G102">
        <f t="shared" si="13"/>
        <v>15.637932956737101</v>
      </c>
      <c r="H102">
        <f t="shared" si="14"/>
        <v>0</v>
      </c>
      <c r="I102">
        <f t="shared" si="15"/>
        <v>0</v>
      </c>
      <c r="J102" s="3">
        <f t="shared" si="16"/>
        <v>68971.989757792326</v>
      </c>
      <c r="K102" s="8">
        <f t="shared" si="17"/>
        <v>0</v>
      </c>
    </row>
    <row r="103" spans="2:11" x14ac:dyDescent="0.3">
      <c r="B103" s="1">
        <v>46478</v>
      </c>
      <c r="C103">
        <v>15.24</v>
      </c>
      <c r="D103">
        <f t="shared" si="8"/>
        <v>15.417000000000002</v>
      </c>
      <c r="E103">
        <f t="shared" ref="E103:E166" si="18">_xlfn.STDEV.P(C93:C113)</f>
        <v>0.18754893541314249</v>
      </c>
      <c r="F103">
        <f t="shared" si="12"/>
        <v>15.154431490421603</v>
      </c>
      <c r="G103">
        <f t="shared" si="13"/>
        <v>15.679568509578401</v>
      </c>
      <c r="H103">
        <f t="shared" si="14"/>
        <v>0</v>
      </c>
      <c r="I103">
        <f t="shared" si="15"/>
        <v>0</v>
      </c>
      <c r="J103" s="3">
        <f t="shared" si="16"/>
        <v>68971.989757792326</v>
      </c>
      <c r="K103" s="8">
        <f t="shared" si="17"/>
        <v>0</v>
      </c>
    </row>
    <row r="104" spans="2:11" x14ac:dyDescent="0.3">
      <c r="B104" s="1">
        <v>46844</v>
      </c>
      <c r="C104">
        <v>15.3</v>
      </c>
      <c r="D104">
        <f t="shared" si="8"/>
        <v>15.436000000000002</v>
      </c>
      <c r="E104">
        <f t="shared" si="18"/>
        <v>0.20969689820225335</v>
      </c>
      <c r="F104">
        <f t="shared" si="12"/>
        <v>15.142424342516847</v>
      </c>
      <c r="G104">
        <f t="shared" si="13"/>
        <v>15.729575657483156</v>
      </c>
      <c r="H104">
        <f t="shared" si="14"/>
        <v>0</v>
      </c>
      <c r="I104">
        <f t="shared" si="15"/>
        <v>0</v>
      </c>
      <c r="J104" s="3">
        <f t="shared" si="16"/>
        <v>68971.989757792326</v>
      </c>
      <c r="K104" s="8">
        <f t="shared" si="17"/>
        <v>0</v>
      </c>
    </row>
    <row r="105" spans="2:11" x14ac:dyDescent="0.3">
      <c r="B105" s="1">
        <v>47209</v>
      </c>
      <c r="C105">
        <v>15.28</v>
      </c>
      <c r="D105">
        <f t="shared" ref="D105:D168" si="19">AVERAGE(C95:C114)</f>
        <v>15.459999999999999</v>
      </c>
      <c r="E105">
        <f t="shared" si="18"/>
        <v>0.21038782889880484</v>
      </c>
      <c r="F105">
        <f t="shared" si="12"/>
        <v>15.165457039541673</v>
      </c>
      <c r="G105">
        <f t="shared" si="13"/>
        <v>15.754542960458325</v>
      </c>
      <c r="H105">
        <f t="shared" si="14"/>
        <v>0</v>
      </c>
      <c r="I105">
        <f t="shared" si="15"/>
        <v>0</v>
      </c>
      <c r="J105" s="3">
        <f t="shared" si="16"/>
        <v>68971.989757792326</v>
      </c>
      <c r="K105" s="8">
        <f t="shared" si="17"/>
        <v>0</v>
      </c>
    </row>
    <row r="106" spans="2:11" x14ac:dyDescent="0.3">
      <c r="B106" s="1">
        <v>47574</v>
      </c>
      <c r="C106">
        <v>15.22</v>
      </c>
      <c r="D106">
        <f t="shared" si="19"/>
        <v>15.462</v>
      </c>
      <c r="E106">
        <f t="shared" si="18"/>
        <v>0.21104211785850716</v>
      </c>
      <c r="F106">
        <f t="shared" si="12"/>
        <v>15.16654103499809</v>
      </c>
      <c r="G106">
        <f t="shared" si="13"/>
        <v>15.757458965001909</v>
      </c>
      <c r="H106">
        <f t="shared" si="14"/>
        <v>0</v>
      </c>
      <c r="I106">
        <f t="shared" si="15"/>
        <v>0</v>
      </c>
      <c r="J106" s="3">
        <f t="shared" si="16"/>
        <v>68971.989757792326</v>
      </c>
      <c r="K106" s="8">
        <f t="shared" si="17"/>
        <v>0</v>
      </c>
    </row>
    <row r="107" spans="2:11" x14ac:dyDescent="0.3">
      <c r="B107" s="1">
        <v>38108</v>
      </c>
      <c r="C107">
        <v>15.7</v>
      </c>
      <c r="D107">
        <f t="shared" si="19"/>
        <v>15.456999999999999</v>
      </c>
      <c r="E107">
        <f t="shared" si="18"/>
        <v>0.21332908159028419</v>
      </c>
      <c r="F107">
        <f t="shared" si="12"/>
        <v>15.158339285773602</v>
      </c>
      <c r="G107">
        <f t="shared" si="13"/>
        <v>15.755660714226396</v>
      </c>
      <c r="H107">
        <f t="shared" si="14"/>
        <v>0</v>
      </c>
      <c r="I107">
        <f t="shared" si="15"/>
        <v>0</v>
      </c>
      <c r="J107" s="3">
        <f t="shared" si="16"/>
        <v>68971.989757792326</v>
      </c>
      <c r="K107" s="8">
        <f t="shared" si="17"/>
        <v>0</v>
      </c>
    </row>
    <row r="108" spans="2:11" x14ac:dyDescent="0.3">
      <c r="B108" s="1">
        <v>38473</v>
      </c>
      <c r="C108">
        <v>15.48</v>
      </c>
      <c r="D108">
        <f t="shared" si="19"/>
        <v>15.456999999999999</v>
      </c>
      <c r="E108">
        <f t="shared" si="18"/>
        <v>0.21332908159028419</v>
      </c>
      <c r="F108">
        <f t="shared" si="12"/>
        <v>15.158339285773602</v>
      </c>
      <c r="G108">
        <f t="shared" si="13"/>
        <v>15.755660714226396</v>
      </c>
      <c r="H108">
        <f t="shared" si="14"/>
        <v>0</v>
      </c>
      <c r="I108">
        <f t="shared" si="15"/>
        <v>0</v>
      </c>
      <c r="J108" s="3">
        <f t="shared" si="16"/>
        <v>68971.989757792326</v>
      </c>
      <c r="K108" s="8">
        <f t="shared" si="17"/>
        <v>0</v>
      </c>
    </row>
    <row r="109" spans="2:11" x14ac:dyDescent="0.3">
      <c r="B109" s="1">
        <v>38838</v>
      </c>
      <c r="C109">
        <v>15.46</v>
      </c>
      <c r="D109">
        <f t="shared" si="19"/>
        <v>15.457000000000003</v>
      </c>
      <c r="E109">
        <f t="shared" si="18"/>
        <v>0.21132987829532626</v>
      </c>
      <c r="F109">
        <f t="shared" si="12"/>
        <v>15.161138170386545</v>
      </c>
      <c r="G109">
        <f t="shared" si="13"/>
        <v>15.75286182961346</v>
      </c>
      <c r="H109">
        <f t="shared" si="14"/>
        <v>0</v>
      </c>
      <c r="I109">
        <f t="shared" si="15"/>
        <v>0</v>
      </c>
      <c r="J109" s="3">
        <f t="shared" si="16"/>
        <v>68971.989757792326</v>
      </c>
      <c r="K109" s="8">
        <f t="shared" si="17"/>
        <v>0</v>
      </c>
    </row>
    <row r="110" spans="2:11" x14ac:dyDescent="0.3">
      <c r="B110" s="1">
        <v>39203</v>
      </c>
      <c r="C110">
        <v>15.72</v>
      </c>
      <c r="D110">
        <f t="shared" si="19"/>
        <v>15.456000000000003</v>
      </c>
      <c r="E110">
        <f t="shared" si="18"/>
        <v>0.21792257669435386</v>
      </c>
      <c r="F110">
        <f t="shared" si="12"/>
        <v>15.150908392627908</v>
      </c>
      <c r="G110">
        <f t="shared" si="13"/>
        <v>15.761091607372098</v>
      </c>
      <c r="H110">
        <f t="shared" si="14"/>
        <v>0</v>
      </c>
      <c r="I110">
        <f t="shared" si="15"/>
        <v>0</v>
      </c>
      <c r="J110" s="3">
        <f t="shared" si="16"/>
        <v>68971.989757792326</v>
      </c>
      <c r="K110" s="8">
        <f t="shared" si="17"/>
        <v>0</v>
      </c>
    </row>
    <row r="111" spans="2:11" x14ac:dyDescent="0.3">
      <c r="B111" s="1">
        <v>39569</v>
      </c>
      <c r="C111">
        <v>15.68</v>
      </c>
      <c r="D111">
        <f t="shared" si="19"/>
        <v>15.451000000000002</v>
      </c>
      <c r="E111">
        <f t="shared" si="18"/>
        <v>0.21606667317343459</v>
      </c>
      <c r="F111">
        <f t="shared" si="12"/>
        <v>15.148506657557194</v>
      </c>
      <c r="G111">
        <f t="shared" si="13"/>
        <v>15.753493342442811</v>
      </c>
      <c r="H111">
        <f t="shared" si="14"/>
        <v>0</v>
      </c>
      <c r="I111">
        <f t="shared" si="15"/>
        <v>0</v>
      </c>
      <c r="J111" s="3">
        <f t="shared" si="16"/>
        <v>68971.989757792326</v>
      </c>
      <c r="K111" s="8">
        <f t="shared" si="17"/>
        <v>0</v>
      </c>
    </row>
    <row r="112" spans="2:11" x14ac:dyDescent="0.3">
      <c r="B112" s="1">
        <v>40664</v>
      </c>
      <c r="C112">
        <v>15.86</v>
      </c>
      <c r="D112">
        <f t="shared" si="19"/>
        <v>15.454000000000002</v>
      </c>
      <c r="E112">
        <f t="shared" si="18"/>
        <v>0.21735578532665278</v>
      </c>
      <c r="F112">
        <f t="shared" si="12"/>
        <v>15.149701900542688</v>
      </c>
      <c r="G112">
        <f t="shared" si="13"/>
        <v>15.758298099457317</v>
      </c>
      <c r="H112">
        <f t="shared" si="14"/>
        <v>0</v>
      </c>
      <c r="I112" s="5">
        <f t="shared" si="15"/>
        <v>1</v>
      </c>
      <c r="J112" s="3">
        <v>0</v>
      </c>
      <c r="K112" s="9">
        <f>J90*C112</f>
        <v>1093895.7575585863</v>
      </c>
    </row>
    <row r="113" spans="2:11" x14ac:dyDescent="0.3">
      <c r="B113" s="1">
        <v>41030</v>
      </c>
      <c r="C113">
        <v>15.76</v>
      </c>
      <c r="D113">
        <f t="shared" si="19"/>
        <v>15.453999999999999</v>
      </c>
      <c r="E113">
        <f t="shared" si="18"/>
        <v>0.21417775058006702</v>
      </c>
      <c r="F113">
        <f t="shared" si="12"/>
        <v>15.154151149187905</v>
      </c>
      <c r="G113">
        <f t="shared" si="13"/>
        <v>15.753848850812092</v>
      </c>
      <c r="H113">
        <f t="shared" si="14"/>
        <v>0</v>
      </c>
      <c r="I113" s="5">
        <f t="shared" si="15"/>
        <v>1</v>
      </c>
      <c r="J113" s="3">
        <v>0</v>
      </c>
      <c r="K113" s="8">
        <f>K112</f>
        <v>1093895.7575585863</v>
      </c>
    </row>
    <row r="114" spans="2:11" x14ac:dyDescent="0.3">
      <c r="B114" s="1">
        <v>41395</v>
      </c>
      <c r="C114">
        <v>15.88</v>
      </c>
      <c r="D114">
        <f t="shared" si="19"/>
        <v>15.464999999999998</v>
      </c>
      <c r="E114">
        <f t="shared" si="18"/>
        <v>0.2088821343048419</v>
      </c>
      <c r="F114">
        <f t="shared" si="12"/>
        <v>15.172565011973219</v>
      </c>
      <c r="G114">
        <f t="shared" si="13"/>
        <v>15.757434988026777</v>
      </c>
      <c r="H114">
        <f t="shared" si="14"/>
        <v>0</v>
      </c>
      <c r="I114" s="5">
        <f t="shared" si="15"/>
        <v>1</v>
      </c>
      <c r="J114" s="3">
        <v>0</v>
      </c>
      <c r="K114" s="8">
        <f t="shared" ref="K114:K145" si="20">K113</f>
        <v>1093895.7575585863</v>
      </c>
    </row>
    <row r="115" spans="2:11" x14ac:dyDescent="0.3">
      <c r="B115" s="1">
        <v>41760</v>
      </c>
      <c r="C115">
        <v>15.36</v>
      </c>
      <c r="D115">
        <f t="shared" si="19"/>
        <v>15.475</v>
      </c>
      <c r="E115">
        <f t="shared" si="18"/>
        <v>0.20559961530620366</v>
      </c>
      <c r="F115">
        <f t="shared" si="12"/>
        <v>15.187160538571314</v>
      </c>
      <c r="G115">
        <f t="shared" si="13"/>
        <v>15.762839461428685</v>
      </c>
      <c r="H115">
        <f t="shared" si="14"/>
        <v>0</v>
      </c>
      <c r="I115">
        <f t="shared" si="15"/>
        <v>0</v>
      </c>
      <c r="J115" s="3">
        <v>0</v>
      </c>
      <c r="K115" s="8">
        <f t="shared" si="20"/>
        <v>1093895.7575585863</v>
      </c>
    </row>
    <row r="116" spans="2:11" x14ac:dyDescent="0.3">
      <c r="B116" s="1">
        <v>42125</v>
      </c>
      <c r="C116">
        <v>15.3</v>
      </c>
      <c r="D116">
        <f t="shared" si="19"/>
        <v>15.485999999999999</v>
      </c>
      <c r="E116">
        <f t="shared" si="18"/>
        <v>0.20758409491718049</v>
      </c>
      <c r="F116">
        <f t="shared" si="12"/>
        <v>15.195382267115946</v>
      </c>
      <c r="G116">
        <f t="shared" si="13"/>
        <v>15.776617732884052</v>
      </c>
      <c r="H116">
        <f t="shared" si="14"/>
        <v>0</v>
      </c>
      <c r="I116">
        <f t="shared" si="15"/>
        <v>0</v>
      </c>
      <c r="J116" s="3">
        <v>0</v>
      </c>
      <c r="K116" s="8">
        <f t="shared" si="20"/>
        <v>1093895.7575585863</v>
      </c>
    </row>
    <row r="117" spans="2:11" x14ac:dyDescent="0.3">
      <c r="B117" s="1">
        <v>43221</v>
      </c>
      <c r="C117">
        <v>15.3</v>
      </c>
      <c r="D117">
        <f t="shared" si="19"/>
        <v>15.487</v>
      </c>
      <c r="E117">
        <f t="shared" si="18"/>
        <v>0.20208437653142611</v>
      </c>
      <c r="F117">
        <f t="shared" si="12"/>
        <v>15.204081872856003</v>
      </c>
      <c r="G117">
        <f t="shared" si="13"/>
        <v>15.769918127143997</v>
      </c>
      <c r="H117">
        <f t="shared" si="14"/>
        <v>0</v>
      </c>
      <c r="I117">
        <f t="shared" si="15"/>
        <v>0</v>
      </c>
      <c r="J117" s="3">
        <v>0</v>
      </c>
      <c r="K117" s="8">
        <f t="shared" si="20"/>
        <v>1093895.7575585863</v>
      </c>
    </row>
    <row r="118" spans="2:11" x14ac:dyDescent="0.3">
      <c r="B118" s="1">
        <v>43586</v>
      </c>
      <c r="C118">
        <v>15.3</v>
      </c>
      <c r="D118">
        <f t="shared" si="19"/>
        <v>15.468999999999999</v>
      </c>
      <c r="E118">
        <f t="shared" si="18"/>
        <v>0.20305155003788841</v>
      </c>
      <c r="F118">
        <f t="shared" si="12"/>
        <v>15.184727829946956</v>
      </c>
      <c r="G118">
        <f t="shared" si="13"/>
        <v>15.753272170053043</v>
      </c>
      <c r="H118">
        <f t="shared" si="14"/>
        <v>0</v>
      </c>
      <c r="I118">
        <f t="shared" si="15"/>
        <v>0</v>
      </c>
      <c r="J118" s="3">
        <v>0</v>
      </c>
      <c r="K118" s="8">
        <f t="shared" si="20"/>
        <v>1093895.7575585863</v>
      </c>
    </row>
    <row r="119" spans="2:11" x14ac:dyDescent="0.3">
      <c r="B119" s="1">
        <v>43952</v>
      </c>
      <c r="C119">
        <v>15.38</v>
      </c>
      <c r="D119">
        <f t="shared" si="19"/>
        <v>15.456</v>
      </c>
      <c r="E119">
        <f t="shared" si="18"/>
        <v>0.20813391816606067</v>
      </c>
      <c r="F119">
        <f t="shared" si="12"/>
        <v>15.164612514567514</v>
      </c>
      <c r="G119">
        <f t="shared" si="13"/>
        <v>15.747387485432485</v>
      </c>
      <c r="H119">
        <f t="shared" si="14"/>
        <v>0</v>
      </c>
      <c r="I119">
        <f t="shared" si="15"/>
        <v>0</v>
      </c>
      <c r="J119" s="3">
        <v>0</v>
      </c>
      <c r="K119" s="8">
        <f t="shared" si="20"/>
        <v>1093895.7575585863</v>
      </c>
    </row>
    <row r="120" spans="2:11" x14ac:dyDescent="0.3">
      <c r="B120" s="1">
        <v>44317</v>
      </c>
      <c r="C120">
        <v>15.2</v>
      </c>
      <c r="D120">
        <f t="shared" si="19"/>
        <v>15.444999999999999</v>
      </c>
      <c r="E120">
        <f t="shared" si="18"/>
        <v>0.21263917677872479</v>
      </c>
      <c r="F120">
        <f t="shared" si="12"/>
        <v>15.147305152509784</v>
      </c>
      <c r="G120">
        <f t="shared" si="13"/>
        <v>15.742694847490213</v>
      </c>
      <c r="H120">
        <f t="shared" si="14"/>
        <v>0</v>
      </c>
      <c r="I120">
        <f t="shared" si="15"/>
        <v>0</v>
      </c>
      <c r="J120" s="3">
        <v>0</v>
      </c>
      <c r="K120" s="8">
        <f t="shared" si="20"/>
        <v>1093895.7575585863</v>
      </c>
    </row>
    <row r="121" spans="2:11" x14ac:dyDescent="0.3">
      <c r="B121" s="1">
        <v>44682</v>
      </c>
      <c r="C121">
        <v>15.38</v>
      </c>
      <c r="D121">
        <f t="shared" si="19"/>
        <v>15.421000000000001</v>
      </c>
      <c r="E121">
        <f t="shared" si="18"/>
        <v>0.2050916503273929</v>
      </c>
      <c r="F121">
        <f t="shared" si="12"/>
        <v>15.133871689541651</v>
      </c>
      <c r="G121">
        <f t="shared" si="13"/>
        <v>15.708128310458351</v>
      </c>
      <c r="H121">
        <f t="shared" si="14"/>
        <v>0</v>
      </c>
      <c r="I121">
        <f t="shared" si="15"/>
        <v>0</v>
      </c>
      <c r="J121" s="3">
        <v>0</v>
      </c>
      <c r="K121" s="8">
        <f t="shared" si="20"/>
        <v>1093895.7575585863</v>
      </c>
    </row>
    <row r="122" spans="2:11" x14ac:dyDescent="0.3">
      <c r="B122" s="1">
        <v>45778</v>
      </c>
      <c r="C122">
        <v>15.28</v>
      </c>
      <c r="D122">
        <f t="shared" si="19"/>
        <v>15.401</v>
      </c>
      <c r="E122">
        <f t="shared" si="18"/>
        <v>0.20636581129771067</v>
      </c>
      <c r="F122">
        <f t="shared" si="12"/>
        <v>15.112087864183206</v>
      </c>
      <c r="G122">
        <f t="shared" si="13"/>
        <v>15.689912135816794</v>
      </c>
      <c r="H122">
        <f t="shared" si="14"/>
        <v>0</v>
      </c>
      <c r="I122">
        <f t="shared" si="15"/>
        <v>0</v>
      </c>
      <c r="J122" s="3">
        <v>0</v>
      </c>
      <c r="K122" s="8">
        <f t="shared" si="20"/>
        <v>1093895.7575585863</v>
      </c>
    </row>
    <row r="123" spans="2:11" x14ac:dyDescent="0.3">
      <c r="B123" s="1">
        <v>46143</v>
      </c>
      <c r="C123">
        <v>15.46</v>
      </c>
      <c r="D123">
        <f t="shared" si="19"/>
        <v>15.392999999999997</v>
      </c>
      <c r="E123">
        <f t="shared" si="18"/>
        <v>0.18148792929758614</v>
      </c>
      <c r="F123">
        <f t="shared" ref="F123:F154" si="21">D123-($D$203*E123)</f>
        <v>15.138916898983377</v>
      </c>
      <c r="G123">
        <f t="shared" ref="G123:G154" si="22">D123+($D$203*E123)</f>
        <v>15.647083101016618</v>
      </c>
      <c r="H123">
        <f t="shared" si="14"/>
        <v>0</v>
      </c>
      <c r="I123">
        <f t="shared" si="15"/>
        <v>0</v>
      </c>
      <c r="J123" s="3">
        <v>0</v>
      </c>
      <c r="K123" s="8">
        <f t="shared" si="20"/>
        <v>1093895.7575585863</v>
      </c>
    </row>
    <row r="124" spans="2:11" x14ac:dyDescent="0.3">
      <c r="B124" s="1">
        <v>46874</v>
      </c>
      <c r="C124">
        <v>15.5</v>
      </c>
      <c r="D124">
        <f t="shared" si="19"/>
        <v>15.370999999999999</v>
      </c>
      <c r="E124">
        <f t="shared" si="18"/>
        <v>0.1618151012239803</v>
      </c>
      <c r="F124">
        <f t="shared" si="21"/>
        <v>15.144458858286427</v>
      </c>
      <c r="G124">
        <f t="shared" si="22"/>
        <v>15.59754114171357</v>
      </c>
      <c r="H124">
        <f t="shared" si="14"/>
        <v>0</v>
      </c>
      <c r="I124">
        <f t="shared" si="15"/>
        <v>0</v>
      </c>
      <c r="J124" s="3">
        <v>0</v>
      </c>
      <c r="K124" s="8">
        <f t="shared" si="20"/>
        <v>1093895.7575585863</v>
      </c>
    </row>
    <row r="125" spans="2:11" x14ac:dyDescent="0.3">
      <c r="B125" s="1">
        <v>47239</v>
      </c>
      <c r="C125">
        <v>15.5</v>
      </c>
      <c r="D125">
        <f t="shared" si="19"/>
        <v>15.348000000000003</v>
      </c>
      <c r="E125">
        <f t="shared" si="18"/>
        <v>0.1806312940746784</v>
      </c>
      <c r="F125">
        <f t="shared" si="21"/>
        <v>15.095116188295453</v>
      </c>
      <c r="G125">
        <f t="shared" si="22"/>
        <v>15.600883811704552</v>
      </c>
      <c r="H125">
        <f t="shared" si="14"/>
        <v>0</v>
      </c>
      <c r="I125">
        <f t="shared" si="15"/>
        <v>0</v>
      </c>
      <c r="J125" s="3">
        <v>0</v>
      </c>
      <c r="K125" s="8">
        <f t="shared" si="20"/>
        <v>1093895.7575585863</v>
      </c>
    </row>
    <row r="126" spans="2:11" x14ac:dyDescent="0.3">
      <c r="B126" s="1">
        <v>37043</v>
      </c>
      <c r="C126">
        <v>15.24</v>
      </c>
      <c r="D126">
        <f t="shared" si="19"/>
        <v>15.38</v>
      </c>
      <c r="E126">
        <f t="shared" si="18"/>
        <v>0.18063129407467837</v>
      </c>
      <c r="F126">
        <f t="shared" si="21"/>
        <v>15.127116188295451</v>
      </c>
      <c r="G126">
        <f t="shared" si="22"/>
        <v>15.63288381170455</v>
      </c>
      <c r="H126">
        <f t="shared" si="14"/>
        <v>0</v>
      </c>
      <c r="I126">
        <f t="shared" si="15"/>
        <v>0</v>
      </c>
      <c r="J126" s="3">
        <v>0</v>
      </c>
      <c r="K126" s="8">
        <f t="shared" si="20"/>
        <v>1093895.7575585863</v>
      </c>
    </row>
    <row r="127" spans="2:11" x14ac:dyDescent="0.3">
      <c r="B127" s="1">
        <v>37408</v>
      </c>
      <c r="C127">
        <v>15.34</v>
      </c>
      <c r="D127">
        <f t="shared" si="19"/>
        <v>15.385000000000002</v>
      </c>
      <c r="E127">
        <f t="shared" si="18"/>
        <v>0.18138294639417005</v>
      </c>
      <c r="F127">
        <f t="shared" si="21"/>
        <v>15.131063875048163</v>
      </c>
      <c r="G127">
        <f t="shared" si="22"/>
        <v>15.63893612495184</v>
      </c>
      <c r="H127">
        <f t="shared" si="14"/>
        <v>0</v>
      </c>
      <c r="I127">
        <f t="shared" si="15"/>
        <v>0</v>
      </c>
      <c r="J127" s="3">
        <v>0</v>
      </c>
      <c r="K127" s="8">
        <f t="shared" si="20"/>
        <v>1093895.7575585863</v>
      </c>
    </row>
    <row r="128" spans="2:11" x14ac:dyDescent="0.3">
      <c r="B128" s="1">
        <v>37773</v>
      </c>
      <c r="C128">
        <v>15.22</v>
      </c>
      <c r="D128">
        <f t="shared" si="19"/>
        <v>15.395</v>
      </c>
      <c r="E128">
        <f t="shared" si="18"/>
        <v>0.18364413975955562</v>
      </c>
      <c r="F128">
        <f t="shared" si="21"/>
        <v>15.137898204336622</v>
      </c>
      <c r="G128">
        <f t="shared" si="22"/>
        <v>15.652101795663377</v>
      </c>
      <c r="H128">
        <f t="shared" si="14"/>
        <v>0</v>
      </c>
      <c r="I128">
        <f t="shared" si="15"/>
        <v>0</v>
      </c>
      <c r="J128" s="3">
        <v>0</v>
      </c>
      <c r="K128" s="8">
        <f t="shared" si="20"/>
        <v>1093895.7575585863</v>
      </c>
    </row>
    <row r="129" spans="2:11" x14ac:dyDescent="0.3">
      <c r="B129" s="1">
        <v>38139</v>
      </c>
      <c r="C129">
        <v>15.24</v>
      </c>
      <c r="D129">
        <f t="shared" si="19"/>
        <v>15.407999999999998</v>
      </c>
      <c r="E129">
        <f t="shared" si="18"/>
        <v>0.18672982410660685</v>
      </c>
      <c r="F129">
        <f t="shared" si="21"/>
        <v>15.146578246250748</v>
      </c>
      <c r="G129">
        <f t="shared" si="22"/>
        <v>15.669421753749248</v>
      </c>
      <c r="H129">
        <f t="shared" si="14"/>
        <v>0</v>
      </c>
      <c r="I129">
        <f t="shared" si="15"/>
        <v>0</v>
      </c>
      <c r="J129" s="3">
        <v>0</v>
      </c>
      <c r="K129" s="8">
        <f t="shared" si="20"/>
        <v>1093895.7575585863</v>
      </c>
    </row>
    <row r="130" spans="2:11" x14ac:dyDescent="0.3">
      <c r="B130" s="1">
        <v>38504</v>
      </c>
      <c r="C130">
        <v>15.24</v>
      </c>
      <c r="D130">
        <f t="shared" si="19"/>
        <v>15.419</v>
      </c>
      <c r="E130">
        <f t="shared" si="18"/>
        <v>0.18825851864197227</v>
      </c>
      <c r="F130">
        <f t="shared" si="21"/>
        <v>15.155438073901239</v>
      </c>
      <c r="G130">
        <f t="shared" si="22"/>
        <v>15.682561926098762</v>
      </c>
      <c r="H130">
        <f t="shared" si="14"/>
        <v>0</v>
      </c>
      <c r="I130">
        <f t="shared" si="15"/>
        <v>0</v>
      </c>
      <c r="J130" s="3">
        <v>0</v>
      </c>
      <c r="K130" s="8">
        <f t="shared" si="20"/>
        <v>1093895.7575585863</v>
      </c>
    </row>
    <row r="131" spans="2:11" x14ac:dyDescent="0.3">
      <c r="B131" s="1">
        <v>39600</v>
      </c>
      <c r="C131">
        <v>15.28</v>
      </c>
      <c r="D131">
        <f t="shared" si="19"/>
        <v>15.424000000000001</v>
      </c>
      <c r="E131">
        <f t="shared" si="18"/>
        <v>0.18235546259772142</v>
      </c>
      <c r="F131">
        <f t="shared" si="21"/>
        <v>15.168702352363191</v>
      </c>
      <c r="G131">
        <f t="shared" si="22"/>
        <v>15.679297647636812</v>
      </c>
      <c r="H131">
        <f t="shared" si="14"/>
        <v>0</v>
      </c>
      <c r="I131">
        <f t="shared" si="15"/>
        <v>0</v>
      </c>
      <c r="J131" s="3">
        <v>0</v>
      </c>
      <c r="K131" s="8">
        <f t="shared" si="20"/>
        <v>1093895.7575585863</v>
      </c>
    </row>
    <row r="132" spans="2:11" x14ac:dyDescent="0.3">
      <c r="B132" s="1">
        <v>39965</v>
      </c>
      <c r="C132">
        <v>15.7</v>
      </c>
      <c r="D132">
        <f t="shared" si="19"/>
        <v>15.424000000000001</v>
      </c>
      <c r="E132">
        <f t="shared" si="18"/>
        <v>0.18299102241835319</v>
      </c>
      <c r="F132">
        <f t="shared" si="21"/>
        <v>15.167812568614307</v>
      </c>
      <c r="G132">
        <f t="shared" si="22"/>
        <v>15.680187431385695</v>
      </c>
      <c r="H132">
        <f t="shared" si="14"/>
        <v>0</v>
      </c>
      <c r="I132" s="5">
        <f t="shared" si="15"/>
        <v>1</v>
      </c>
      <c r="J132" s="3">
        <v>0</v>
      </c>
      <c r="K132" s="8">
        <f t="shared" si="20"/>
        <v>1093895.7575585863</v>
      </c>
    </row>
    <row r="133" spans="2:11" x14ac:dyDescent="0.3">
      <c r="B133" s="1">
        <v>40330</v>
      </c>
      <c r="C133">
        <v>15.32</v>
      </c>
      <c r="D133">
        <f t="shared" si="19"/>
        <v>15.426999999999998</v>
      </c>
      <c r="E133">
        <f t="shared" si="18"/>
        <v>0.18043032461539352</v>
      </c>
      <c r="F133">
        <f t="shared" si="21"/>
        <v>15.174397545538447</v>
      </c>
      <c r="G133">
        <f t="shared" si="22"/>
        <v>15.679602454461548</v>
      </c>
      <c r="H133">
        <f t="shared" si="14"/>
        <v>0</v>
      </c>
      <c r="I133">
        <f t="shared" si="15"/>
        <v>0</v>
      </c>
      <c r="J133" s="3">
        <v>0</v>
      </c>
      <c r="K133" s="8">
        <f t="shared" si="20"/>
        <v>1093895.7575585863</v>
      </c>
    </row>
    <row r="134" spans="2:11" x14ac:dyDescent="0.3">
      <c r="B134" s="1">
        <v>40695</v>
      </c>
      <c r="C134">
        <v>15.42</v>
      </c>
      <c r="D134">
        <f t="shared" si="19"/>
        <v>15.426999999999996</v>
      </c>
      <c r="E134">
        <f t="shared" si="18"/>
        <v>0.18172766248058536</v>
      </c>
      <c r="F134">
        <f t="shared" si="21"/>
        <v>15.172581272527177</v>
      </c>
      <c r="G134">
        <f t="shared" si="22"/>
        <v>15.681418727472815</v>
      </c>
      <c r="H134">
        <f t="shared" si="14"/>
        <v>0</v>
      </c>
      <c r="I134">
        <f t="shared" si="15"/>
        <v>0</v>
      </c>
      <c r="J134" s="3">
        <v>0</v>
      </c>
      <c r="K134" s="8">
        <f t="shared" si="20"/>
        <v>1093895.7575585863</v>
      </c>
    </row>
    <row r="135" spans="2:11" x14ac:dyDescent="0.3">
      <c r="B135" s="1">
        <v>42156</v>
      </c>
      <c r="C135">
        <v>16</v>
      </c>
      <c r="D135">
        <f t="shared" si="19"/>
        <v>15.417999999999997</v>
      </c>
      <c r="E135">
        <f t="shared" si="18"/>
        <v>0.18674925286788163</v>
      </c>
      <c r="F135">
        <f t="shared" si="21"/>
        <v>15.156551045984964</v>
      </c>
      <c r="G135">
        <f t="shared" si="22"/>
        <v>15.679448954015031</v>
      </c>
      <c r="H135">
        <f t="shared" si="14"/>
        <v>0</v>
      </c>
      <c r="I135">
        <f t="shared" si="15"/>
        <v>1</v>
      </c>
      <c r="J135" s="3">
        <v>0</v>
      </c>
      <c r="K135" s="8">
        <f t="shared" si="20"/>
        <v>1093895.7575585863</v>
      </c>
    </row>
    <row r="136" spans="2:11" x14ac:dyDescent="0.3">
      <c r="B136" s="1">
        <v>42522</v>
      </c>
      <c r="C136">
        <v>15.4</v>
      </c>
      <c r="D136">
        <f t="shared" si="19"/>
        <v>15.402999999999997</v>
      </c>
      <c r="E136">
        <f t="shared" si="18"/>
        <v>0.19057140477380208</v>
      </c>
      <c r="F136">
        <f t="shared" si="21"/>
        <v>15.136200033316674</v>
      </c>
      <c r="G136">
        <f t="shared" si="22"/>
        <v>15.669799966683319</v>
      </c>
      <c r="H136">
        <f t="shared" si="14"/>
        <v>0</v>
      </c>
      <c r="I136">
        <f t="shared" si="15"/>
        <v>0</v>
      </c>
      <c r="J136" s="3">
        <v>0</v>
      </c>
      <c r="K136" s="8">
        <f t="shared" si="20"/>
        <v>1093895.7575585863</v>
      </c>
    </row>
    <row r="137" spans="2:11" x14ac:dyDescent="0.3">
      <c r="B137" s="1">
        <v>42887</v>
      </c>
      <c r="C137">
        <v>15.5</v>
      </c>
      <c r="D137">
        <f t="shared" si="19"/>
        <v>15.401</v>
      </c>
      <c r="E137">
        <f t="shared" si="18"/>
        <v>0.18922445849205113</v>
      </c>
      <c r="F137">
        <f t="shared" si="21"/>
        <v>15.136085758111129</v>
      </c>
      <c r="G137">
        <f t="shared" si="22"/>
        <v>15.665914241888871</v>
      </c>
      <c r="H137">
        <f t="shared" si="14"/>
        <v>0</v>
      </c>
      <c r="I137">
        <f t="shared" si="15"/>
        <v>0</v>
      </c>
      <c r="J137" s="3">
        <v>0</v>
      </c>
      <c r="K137" s="8">
        <f t="shared" si="20"/>
        <v>1093895.7575585863</v>
      </c>
    </row>
    <row r="138" spans="2:11" x14ac:dyDescent="0.3">
      <c r="B138" s="1">
        <v>43252</v>
      </c>
      <c r="C138">
        <v>15.56</v>
      </c>
      <c r="D138">
        <f t="shared" si="19"/>
        <v>15.398</v>
      </c>
      <c r="E138">
        <f t="shared" si="18"/>
        <v>0.19947322918376217</v>
      </c>
      <c r="F138">
        <f t="shared" si="21"/>
        <v>15.118737479142732</v>
      </c>
      <c r="G138">
        <f t="shared" si="22"/>
        <v>15.677262520857267</v>
      </c>
      <c r="H138">
        <f t="shared" si="14"/>
        <v>0</v>
      </c>
      <c r="I138">
        <f t="shared" si="15"/>
        <v>0</v>
      </c>
      <c r="J138" s="3">
        <v>0</v>
      </c>
      <c r="K138" s="8">
        <f t="shared" si="20"/>
        <v>1093895.7575585863</v>
      </c>
    </row>
    <row r="139" spans="2:11" x14ac:dyDescent="0.3">
      <c r="B139" s="1">
        <v>43617</v>
      </c>
      <c r="C139">
        <v>15.6</v>
      </c>
      <c r="D139">
        <f t="shared" si="19"/>
        <v>15.422000000000001</v>
      </c>
      <c r="E139">
        <f t="shared" si="18"/>
        <v>0.19498473688739743</v>
      </c>
      <c r="F139">
        <f t="shared" si="21"/>
        <v>15.149021368357644</v>
      </c>
      <c r="G139">
        <f t="shared" si="22"/>
        <v>15.694978631642357</v>
      </c>
      <c r="H139">
        <f t="shared" si="14"/>
        <v>0</v>
      </c>
      <c r="I139">
        <f t="shared" si="15"/>
        <v>0</v>
      </c>
      <c r="J139" s="3">
        <v>0</v>
      </c>
      <c r="K139" s="8">
        <f t="shared" si="20"/>
        <v>1093895.7575585863</v>
      </c>
    </row>
    <row r="140" spans="2:11" x14ac:dyDescent="0.3">
      <c r="B140" s="1">
        <v>44713</v>
      </c>
      <c r="C140">
        <v>15.3</v>
      </c>
      <c r="D140">
        <f t="shared" si="19"/>
        <v>15.428999999999997</v>
      </c>
      <c r="E140">
        <f t="shared" si="18"/>
        <v>0.19275305833267245</v>
      </c>
      <c r="F140">
        <f t="shared" si="21"/>
        <v>15.159145718334255</v>
      </c>
      <c r="G140">
        <f t="shared" si="22"/>
        <v>15.698854281665739</v>
      </c>
      <c r="H140">
        <f t="shared" si="14"/>
        <v>0</v>
      </c>
      <c r="I140">
        <f t="shared" si="15"/>
        <v>0</v>
      </c>
      <c r="J140" s="3">
        <v>0</v>
      </c>
      <c r="K140" s="8">
        <f t="shared" si="20"/>
        <v>1093895.7575585863</v>
      </c>
    </row>
    <row r="141" spans="2:11" x14ac:dyDescent="0.3">
      <c r="B141" s="1">
        <v>45078</v>
      </c>
      <c r="C141">
        <v>15.38</v>
      </c>
      <c r="D141">
        <f t="shared" si="19"/>
        <v>15.431999999999999</v>
      </c>
      <c r="E141">
        <f t="shared" si="18"/>
        <v>0.18987046545156419</v>
      </c>
      <c r="F141">
        <f t="shared" si="21"/>
        <v>15.166181348367809</v>
      </c>
      <c r="G141">
        <f t="shared" si="22"/>
        <v>15.697818651632188</v>
      </c>
      <c r="H141">
        <f t="shared" si="14"/>
        <v>0</v>
      </c>
      <c r="I141">
        <f t="shared" si="15"/>
        <v>0</v>
      </c>
      <c r="J141" s="3">
        <v>0</v>
      </c>
      <c r="K141" s="8">
        <f t="shared" si="20"/>
        <v>1093895.7575585863</v>
      </c>
    </row>
    <row r="142" spans="2:11" x14ac:dyDescent="0.3">
      <c r="B142" s="1">
        <v>45444</v>
      </c>
      <c r="C142">
        <v>15.34</v>
      </c>
      <c r="D142">
        <f t="shared" si="19"/>
        <v>15.434000000000001</v>
      </c>
      <c r="E142">
        <f t="shared" si="18"/>
        <v>0.19540759193062823</v>
      </c>
      <c r="F142">
        <f t="shared" si="21"/>
        <v>15.160429371297122</v>
      </c>
      <c r="G142">
        <f t="shared" si="22"/>
        <v>15.70757062870288</v>
      </c>
      <c r="H142">
        <f t="shared" si="14"/>
        <v>0</v>
      </c>
      <c r="I142">
        <f t="shared" si="15"/>
        <v>0</v>
      </c>
      <c r="J142" s="3">
        <v>0</v>
      </c>
      <c r="K142" s="8">
        <f t="shared" si="20"/>
        <v>1093895.7575585863</v>
      </c>
    </row>
    <row r="143" spans="2:11" x14ac:dyDescent="0.3">
      <c r="B143" s="1">
        <v>45809</v>
      </c>
      <c r="C143">
        <v>15.46</v>
      </c>
      <c r="D143">
        <f t="shared" si="19"/>
        <v>15.433999999999997</v>
      </c>
      <c r="E143">
        <f t="shared" si="18"/>
        <v>0.18791130247106438</v>
      </c>
      <c r="F143">
        <f t="shared" si="21"/>
        <v>15.170924176540508</v>
      </c>
      <c r="G143">
        <f t="shared" si="22"/>
        <v>15.697075823459487</v>
      </c>
      <c r="H143">
        <f t="shared" si="14"/>
        <v>0</v>
      </c>
      <c r="I143">
        <f t="shared" si="15"/>
        <v>0</v>
      </c>
      <c r="J143" s="3">
        <v>0</v>
      </c>
      <c r="K143" s="8">
        <f t="shared" si="20"/>
        <v>1093895.7575585863</v>
      </c>
    </row>
    <row r="144" spans="2:11" x14ac:dyDescent="0.3">
      <c r="B144" s="1">
        <v>46174</v>
      </c>
      <c r="C144">
        <v>15.32</v>
      </c>
      <c r="D144">
        <f t="shared" si="19"/>
        <v>15.443999999999994</v>
      </c>
      <c r="E144">
        <f t="shared" si="18"/>
        <v>0.188287424420781</v>
      </c>
      <c r="F144">
        <f t="shared" si="21"/>
        <v>15.180397605810901</v>
      </c>
      <c r="G144">
        <f t="shared" si="22"/>
        <v>15.707602394189086</v>
      </c>
      <c r="H144">
        <f t="shared" si="14"/>
        <v>0</v>
      </c>
      <c r="I144">
        <f t="shared" si="15"/>
        <v>0</v>
      </c>
      <c r="J144" s="3">
        <v>0</v>
      </c>
      <c r="K144" s="8">
        <f t="shared" si="20"/>
        <v>1093895.7575585863</v>
      </c>
    </row>
    <row r="145" spans="2:11" x14ac:dyDescent="0.3">
      <c r="B145" s="1">
        <v>47270</v>
      </c>
      <c r="C145">
        <v>15.2</v>
      </c>
      <c r="D145">
        <f t="shared" si="19"/>
        <v>15.451999999999995</v>
      </c>
      <c r="E145">
        <f t="shared" si="18"/>
        <v>0.18817177466359114</v>
      </c>
      <c r="F145">
        <f t="shared" si="21"/>
        <v>15.188559515470967</v>
      </c>
      <c r="G145">
        <f t="shared" si="22"/>
        <v>15.715440484529022</v>
      </c>
      <c r="H145">
        <f t="shared" si="14"/>
        <v>0</v>
      </c>
      <c r="I145">
        <f t="shared" si="15"/>
        <v>0</v>
      </c>
      <c r="J145" s="3">
        <v>0</v>
      </c>
      <c r="K145" s="8">
        <f t="shared" si="20"/>
        <v>1093895.7575585863</v>
      </c>
    </row>
    <row r="146" spans="2:11" x14ac:dyDescent="0.3">
      <c r="B146" s="1">
        <v>47635</v>
      </c>
      <c r="C146">
        <v>15.2</v>
      </c>
      <c r="D146">
        <f t="shared" si="19"/>
        <v>15.424999999999994</v>
      </c>
      <c r="E146">
        <f t="shared" si="18"/>
        <v>0.15441499580579979</v>
      </c>
      <c r="F146">
        <f t="shared" si="21"/>
        <v>15.208819005871874</v>
      </c>
      <c r="G146">
        <f t="shared" si="22"/>
        <v>15.641180994128113</v>
      </c>
      <c r="H146" s="6">
        <f t="shared" si="14"/>
        <v>1</v>
      </c>
      <c r="I146">
        <f t="shared" si="15"/>
        <v>0</v>
      </c>
      <c r="J146" s="4">
        <f>K112/C146</f>
        <v>71966.826155170158</v>
      </c>
      <c r="K146" s="8">
        <f>K112-(C146*J146)</f>
        <v>0</v>
      </c>
    </row>
    <row r="147" spans="2:11" x14ac:dyDescent="0.3">
      <c r="B147" s="1">
        <v>37073</v>
      </c>
      <c r="C147">
        <v>15.28</v>
      </c>
      <c r="D147">
        <f t="shared" si="19"/>
        <v>15.439999999999994</v>
      </c>
      <c r="E147">
        <f t="shared" si="18"/>
        <v>0.15470841566492427</v>
      </c>
      <c r="F147">
        <f t="shared" si="21"/>
        <v>15.2234082180691</v>
      </c>
      <c r="G147">
        <f t="shared" si="22"/>
        <v>15.656591781930889</v>
      </c>
      <c r="H147">
        <f t="shared" si="14"/>
        <v>0</v>
      </c>
      <c r="I147">
        <f t="shared" si="15"/>
        <v>0</v>
      </c>
      <c r="J147" s="3">
        <f>J146</f>
        <v>71966.826155170158</v>
      </c>
      <c r="K147" s="8">
        <f>K146</f>
        <v>0</v>
      </c>
    </row>
    <row r="148" spans="2:11" ht="13.8" customHeight="1" x14ac:dyDescent="0.3">
      <c r="B148" s="1">
        <v>37438</v>
      </c>
      <c r="C148">
        <v>15.7</v>
      </c>
      <c r="D148">
        <f t="shared" si="19"/>
        <v>15.439999999999998</v>
      </c>
      <c r="E148">
        <f t="shared" si="18"/>
        <v>0.15423867595709478</v>
      </c>
      <c r="F148">
        <f t="shared" si="21"/>
        <v>15.224065853660065</v>
      </c>
      <c r="G148">
        <f t="shared" si="22"/>
        <v>15.655934146339931</v>
      </c>
      <c r="H148">
        <f t="shared" si="14"/>
        <v>0</v>
      </c>
      <c r="I148" s="5">
        <f t="shared" si="15"/>
        <v>1</v>
      </c>
      <c r="J148" s="3">
        <v>0</v>
      </c>
      <c r="K148" s="9">
        <f>C148*J146</f>
        <v>1129879.1706361715</v>
      </c>
    </row>
    <row r="149" spans="2:11" x14ac:dyDescent="0.3">
      <c r="B149" s="1">
        <v>37803</v>
      </c>
      <c r="C149">
        <v>15.38</v>
      </c>
      <c r="D149">
        <f t="shared" si="19"/>
        <v>15.433000000000002</v>
      </c>
      <c r="E149">
        <f t="shared" si="18"/>
        <v>0.15201145678269526</v>
      </c>
      <c r="F149">
        <f t="shared" si="21"/>
        <v>15.220183960504228</v>
      </c>
      <c r="G149">
        <f t="shared" si="22"/>
        <v>15.645816039495775</v>
      </c>
      <c r="H149">
        <f t="shared" si="14"/>
        <v>0</v>
      </c>
      <c r="I149">
        <f t="shared" si="15"/>
        <v>0</v>
      </c>
      <c r="J149" s="3">
        <v>0</v>
      </c>
      <c r="K149" s="8">
        <f>K148</f>
        <v>1129879.1706361715</v>
      </c>
    </row>
    <row r="150" spans="2:11" x14ac:dyDescent="0.3">
      <c r="B150" s="1">
        <v>38899</v>
      </c>
      <c r="C150">
        <v>15.3</v>
      </c>
      <c r="D150">
        <f t="shared" si="19"/>
        <v>15.423000000000002</v>
      </c>
      <c r="E150">
        <f t="shared" si="18"/>
        <v>0.14726532120608682</v>
      </c>
      <c r="F150">
        <f t="shared" si="21"/>
        <v>15.21682855031148</v>
      </c>
      <c r="G150">
        <f t="shared" si="22"/>
        <v>15.629171449688524</v>
      </c>
      <c r="H150">
        <f t="shared" si="14"/>
        <v>0</v>
      </c>
      <c r="I150">
        <f t="shared" si="15"/>
        <v>0</v>
      </c>
      <c r="J150" s="3">
        <v>0</v>
      </c>
      <c r="K150" s="8">
        <f t="shared" ref="K150:K180" si="23">K149</f>
        <v>1129879.1706361715</v>
      </c>
    </row>
    <row r="151" spans="2:11" x14ac:dyDescent="0.3">
      <c r="B151" s="1">
        <v>39264</v>
      </c>
      <c r="C151">
        <v>15.32</v>
      </c>
      <c r="D151">
        <f t="shared" si="19"/>
        <v>15.429000000000002</v>
      </c>
      <c r="E151">
        <f t="shared" si="18"/>
        <v>0.14481202139998625</v>
      </c>
      <c r="F151">
        <f t="shared" si="21"/>
        <v>15.226263170040021</v>
      </c>
      <c r="G151">
        <f t="shared" si="22"/>
        <v>15.631736829959983</v>
      </c>
      <c r="H151">
        <f t="shared" si="14"/>
        <v>0</v>
      </c>
      <c r="I151">
        <f t="shared" si="15"/>
        <v>0</v>
      </c>
      <c r="J151" s="3">
        <v>0</v>
      </c>
      <c r="K151" s="8">
        <f t="shared" si="23"/>
        <v>1129879.1706361715</v>
      </c>
    </row>
    <row r="152" spans="2:11" x14ac:dyDescent="0.3">
      <c r="B152" s="1">
        <v>39630</v>
      </c>
      <c r="C152">
        <v>15.7</v>
      </c>
      <c r="D152">
        <f t="shared" si="19"/>
        <v>15.429999999999998</v>
      </c>
      <c r="E152">
        <f t="shared" si="18"/>
        <v>0.14456126446484011</v>
      </c>
      <c r="F152">
        <f t="shared" si="21"/>
        <v>15.227614229749221</v>
      </c>
      <c r="G152">
        <f t="shared" si="22"/>
        <v>15.632385770250774</v>
      </c>
      <c r="H152">
        <f t="shared" si="14"/>
        <v>0</v>
      </c>
      <c r="I152" s="5">
        <f t="shared" si="15"/>
        <v>1</v>
      </c>
      <c r="J152" s="3">
        <v>0</v>
      </c>
      <c r="K152" s="8">
        <f t="shared" si="23"/>
        <v>1129879.1706361715</v>
      </c>
    </row>
    <row r="153" spans="2:11" x14ac:dyDescent="0.3">
      <c r="B153" s="1">
        <v>39995</v>
      </c>
      <c r="C153">
        <v>15.52</v>
      </c>
      <c r="D153">
        <f t="shared" si="19"/>
        <v>15.435999999999998</v>
      </c>
      <c r="E153">
        <f t="shared" si="18"/>
        <v>0.15375570339512795</v>
      </c>
      <c r="F153">
        <f t="shared" si="21"/>
        <v>15.220742015246818</v>
      </c>
      <c r="G153">
        <f t="shared" si="22"/>
        <v>15.651257984753178</v>
      </c>
      <c r="H153">
        <f t="shared" si="14"/>
        <v>0</v>
      </c>
      <c r="I153">
        <f t="shared" si="15"/>
        <v>0</v>
      </c>
      <c r="J153" s="3">
        <v>0</v>
      </c>
      <c r="K153" s="8">
        <f t="shared" si="23"/>
        <v>1129879.1706361715</v>
      </c>
    </row>
    <row r="154" spans="2:11" x14ac:dyDescent="0.3">
      <c r="B154" s="1">
        <v>40360</v>
      </c>
      <c r="C154">
        <v>15.58</v>
      </c>
      <c r="D154">
        <f t="shared" si="19"/>
        <v>15.447999999999997</v>
      </c>
      <c r="E154">
        <f t="shared" si="18"/>
        <v>0.16283207827171417</v>
      </c>
      <c r="F154">
        <f t="shared" si="21"/>
        <v>15.220035090419596</v>
      </c>
      <c r="G154">
        <f t="shared" si="22"/>
        <v>15.675964909580397</v>
      </c>
      <c r="H154">
        <f t="shared" si="14"/>
        <v>0</v>
      </c>
      <c r="I154">
        <f t="shared" si="15"/>
        <v>0</v>
      </c>
      <c r="J154" s="3">
        <v>0</v>
      </c>
      <c r="K154" s="8">
        <f t="shared" si="23"/>
        <v>1129879.1706361715</v>
      </c>
    </row>
    <row r="155" spans="2:11" x14ac:dyDescent="0.3">
      <c r="B155" s="1">
        <v>41456</v>
      </c>
      <c r="C155">
        <v>15.46</v>
      </c>
      <c r="D155">
        <f t="shared" si="19"/>
        <v>15.466999999999995</v>
      </c>
      <c r="E155">
        <f t="shared" si="18"/>
        <v>0.17004201161561711</v>
      </c>
      <c r="F155">
        <f t="shared" ref="F155:F186" si="24">D155-($D$203*E155)</f>
        <v>15.228941183738131</v>
      </c>
      <c r="G155">
        <f t="shared" ref="G155:G186" si="25">D155+($D$203*E155)</f>
        <v>15.705058816261859</v>
      </c>
      <c r="H155">
        <f t="shared" si="14"/>
        <v>0</v>
      </c>
      <c r="I155">
        <f t="shared" si="15"/>
        <v>0</v>
      </c>
      <c r="J155" s="3">
        <v>0</v>
      </c>
      <c r="K155" s="8">
        <f t="shared" si="23"/>
        <v>1129879.1706361715</v>
      </c>
    </row>
    <row r="156" spans="2:11" x14ac:dyDescent="0.3">
      <c r="B156" s="1">
        <v>41821</v>
      </c>
      <c r="C156">
        <v>15.7</v>
      </c>
      <c r="D156">
        <f t="shared" si="19"/>
        <v>15.494</v>
      </c>
      <c r="E156">
        <f t="shared" si="18"/>
        <v>0.15819274101758757</v>
      </c>
      <c r="F156">
        <f t="shared" si="24"/>
        <v>15.272530162575377</v>
      </c>
      <c r="G156">
        <f t="shared" si="25"/>
        <v>15.715469837424623</v>
      </c>
      <c r="H156">
        <f t="shared" ref="H156:H195" si="26">IF(C156&lt;=F156, 1, 0)</f>
        <v>0</v>
      </c>
      <c r="I156">
        <f t="shared" ref="I156:I195" si="27">IF(C156&gt;=G156, 1, 0)</f>
        <v>0</v>
      </c>
      <c r="J156" s="3">
        <v>0</v>
      </c>
      <c r="K156" s="8">
        <f t="shared" si="23"/>
        <v>1129879.1706361715</v>
      </c>
    </row>
    <row r="157" spans="2:11" x14ac:dyDescent="0.3">
      <c r="B157" s="1">
        <v>42186</v>
      </c>
      <c r="C157">
        <v>15.5</v>
      </c>
      <c r="D157">
        <f t="shared" si="19"/>
        <v>15.509999999999996</v>
      </c>
      <c r="E157">
        <f t="shared" si="18"/>
        <v>0.14503107806757171</v>
      </c>
      <c r="F157">
        <f t="shared" si="24"/>
        <v>15.306956490705396</v>
      </c>
      <c r="G157">
        <f t="shared" si="25"/>
        <v>15.713043509294597</v>
      </c>
      <c r="H157">
        <f t="shared" si="26"/>
        <v>0</v>
      </c>
      <c r="I157">
        <f t="shared" si="27"/>
        <v>0</v>
      </c>
      <c r="J157" s="3">
        <v>0</v>
      </c>
      <c r="K157" s="8">
        <f t="shared" si="23"/>
        <v>1129879.1706361715</v>
      </c>
    </row>
    <row r="158" spans="2:11" x14ac:dyDescent="0.3">
      <c r="B158" s="1">
        <v>42552</v>
      </c>
      <c r="C158">
        <v>15.42</v>
      </c>
      <c r="D158">
        <f t="shared" si="19"/>
        <v>15.526</v>
      </c>
      <c r="E158">
        <f t="shared" si="18"/>
        <v>0.13524480197990948</v>
      </c>
      <c r="F158">
        <f t="shared" si="24"/>
        <v>15.336657277228127</v>
      </c>
      <c r="G158">
        <f t="shared" si="25"/>
        <v>15.715342722771872</v>
      </c>
      <c r="H158">
        <f t="shared" si="26"/>
        <v>0</v>
      </c>
      <c r="I158">
        <f t="shared" si="27"/>
        <v>0</v>
      </c>
      <c r="J158" s="3">
        <v>0</v>
      </c>
      <c r="K158" s="8">
        <f t="shared" si="23"/>
        <v>1129879.1706361715</v>
      </c>
    </row>
    <row r="159" spans="2:11" x14ac:dyDescent="0.3">
      <c r="B159" s="1">
        <v>42917</v>
      </c>
      <c r="C159">
        <v>15.4</v>
      </c>
      <c r="D159">
        <f t="shared" si="19"/>
        <v>15.516999999999996</v>
      </c>
      <c r="E159">
        <f t="shared" si="18"/>
        <v>0.13794080034236744</v>
      </c>
      <c r="F159">
        <f t="shared" si="24"/>
        <v>15.323882879520681</v>
      </c>
      <c r="G159">
        <f t="shared" si="25"/>
        <v>15.71011712047931</v>
      </c>
      <c r="H159">
        <f t="shared" si="26"/>
        <v>0</v>
      </c>
      <c r="I159">
        <f t="shared" si="27"/>
        <v>0</v>
      </c>
      <c r="J159" s="3">
        <v>0</v>
      </c>
      <c r="K159" s="8">
        <f t="shared" si="23"/>
        <v>1129879.1706361715</v>
      </c>
    </row>
    <row r="160" spans="2:11" x14ac:dyDescent="0.3">
      <c r="B160" s="1">
        <v>44013</v>
      </c>
      <c r="C160">
        <v>15.42</v>
      </c>
      <c r="D160">
        <f t="shared" si="19"/>
        <v>15.535</v>
      </c>
      <c r="E160">
        <f t="shared" si="18"/>
        <v>0.13414041446801453</v>
      </c>
      <c r="F160">
        <f t="shared" si="24"/>
        <v>15.34720341974478</v>
      </c>
      <c r="G160">
        <f t="shared" si="25"/>
        <v>15.722796580255221</v>
      </c>
      <c r="H160">
        <f t="shared" si="26"/>
        <v>0</v>
      </c>
      <c r="I160">
        <f t="shared" si="27"/>
        <v>0</v>
      </c>
      <c r="J160" s="3">
        <v>0</v>
      </c>
      <c r="K160" s="8">
        <f t="shared" si="23"/>
        <v>1129879.1706361715</v>
      </c>
    </row>
    <row r="161" spans="2:11" x14ac:dyDescent="0.3">
      <c r="B161" s="1">
        <v>44378</v>
      </c>
      <c r="C161">
        <v>15.4</v>
      </c>
      <c r="D161">
        <f t="shared" si="19"/>
        <v>15.544999999999998</v>
      </c>
      <c r="E161">
        <f t="shared" si="18"/>
        <v>0.1406109119927344</v>
      </c>
      <c r="F161">
        <f t="shared" si="24"/>
        <v>15.34814472321017</v>
      </c>
      <c r="G161">
        <f t="shared" si="25"/>
        <v>15.741855276789826</v>
      </c>
      <c r="H161">
        <f t="shared" si="26"/>
        <v>0</v>
      </c>
      <c r="I161">
        <f t="shared" si="27"/>
        <v>0</v>
      </c>
      <c r="J161" s="3">
        <v>0</v>
      </c>
      <c r="K161" s="8">
        <f t="shared" si="23"/>
        <v>1129879.1706361715</v>
      </c>
    </row>
    <row r="162" spans="2:11" x14ac:dyDescent="0.3">
      <c r="B162" s="1">
        <v>44743</v>
      </c>
      <c r="C162">
        <v>15.46</v>
      </c>
      <c r="D162">
        <f t="shared" si="19"/>
        <v>15.571999999999999</v>
      </c>
      <c r="E162">
        <f t="shared" si="18"/>
        <v>0.14028800955029161</v>
      </c>
      <c r="F162">
        <f t="shared" si="24"/>
        <v>15.375596786629592</v>
      </c>
      <c r="G162">
        <f t="shared" si="25"/>
        <v>15.768403213370407</v>
      </c>
      <c r="H162">
        <f t="shared" si="26"/>
        <v>0</v>
      </c>
      <c r="I162">
        <f t="shared" si="27"/>
        <v>0</v>
      </c>
      <c r="J162" s="3">
        <v>0</v>
      </c>
      <c r="K162" s="8">
        <f t="shared" si="23"/>
        <v>1129879.1706361715</v>
      </c>
    </row>
    <row r="163" spans="2:11" x14ac:dyDescent="0.3">
      <c r="B163" s="1">
        <v>45108</v>
      </c>
      <c r="C163">
        <v>15.7</v>
      </c>
      <c r="D163">
        <f t="shared" si="19"/>
        <v>15.577999999999999</v>
      </c>
      <c r="E163">
        <f t="shared" si="18"/>
        <v>0.15397381760525544</v>
      </c>
      <c r="F163">
        <f t="shared" si="24"/>
        <v>15.362436655352642</v>
      </c>
      <c r="G163">
        <f t="shared" si="25"/>
        <v>15.793563344647357</v>
      </c>
      <c r="H163">
        <f t="shared" si="26"/>
        <v>0</v>
      </c>
      <c r="I163">
        <f t="shared" si="27"/>
        <v>0</v>
      </c>
      <c r="J163" s="3">
        <v>0</v>
      </c>
      <c r="K163" s="8">
        <f t="shared" si="23"/>
        <v>1129879.1706361715</v>
      </c>
    </row>
    <row r="164" spans="2:11" x14ac:dyDescent="0.3">
      <c r="B164" s="1">
        <v>45474</v>
      </c>
      <c r="C164">
        <v>15.7</v>
      </c>
      <c r="D164">
        <f t="shared" si="19"/>
        <v>15.597</v>
      </c>
      <c r="E164">
        <f t="shared" si="18"/>
        <v>0.16160757037565118</v>
      </c>
      <c r="F164">
        <f t="shared" si="24"/>
        <v>15.370749401474088</v>
      </c>
      <c r="G164">
        <f t="shared" si="25"/>
        <v>15.823250598525911</v>
      </c>
      <c r="H164">
        <f t="shared" si="26"/>
        <v>0</v>
      </c>
      <c r="I164">
        <f t="shared" si="27"/>
        <v>0</v>
      </c>
      <c r="J164" s="3">
        <v>0</v>
      </c>
      <c r="K164" s="8">
        <f t="shared" si="23"/>
        <v>1129879.1706361715</v>
      </c>
    </row>
    <row r="165" spans="2:11" x14ac:dyDescent="0.3">
      <c r="B165" s="1">
        <v>46569</v>
      </c>
      <c r="C165">
        <v>15.74</v>
      </c>
      <c r="D165">
        <f t="shared" si="19"/>
        <v>15.61</v>
      </c>
      <c r="E165">
        <f t="shared" si="18"/>
        <v>0.16317151500999663</v>
      </c>
      <c r="F165">
        <f t="shared" si="24"/>
        <v>15.381559878986003</v>
      </c>
      <c r="G165">
        <f t="shared" si="25"/>
        <v>15.838440121013996</v>
      </c>
      <c r="H165">
        <f t="shared" si="26"/>
        <v>0</v>
      </c>
      <c r="I165">
        <f t="shared" si="27"/>
        <v>0</v>
      </c>
      <c r="J165" s="3">
        <v>0</v>
      </c>
      <c r="K165" s="8">
        <f t="shared" si="23"/>
        <v>1129879.1706361715</v>
      </c>
    </row>
    <row r="166" spans="2:11" x14ac:dyDescent="0.3">
      <c r="B166" s="1">
        <v>46935</v>
      </c>
      <c r="C166">
        <v>15.52</v>
      </c>
      <c r="D166">
        <f t="shared" si="19"/>
        <v>15.612</v>
      </c>
      <c r="E166">
        <f t="shared" si="18"/>
        <v>0.16031148818044935</v>
      </c>
      <c r="F166">
        <f t="shared" si="24"/>
        <v>15.387563916547371</v>
      </c>
      <c r="G166">
        <f t="shared" si="25"/>
        <v>15.836436083452629</v>
      </c>
      <c r="H166">
        <f t="shared" si="26"/>
        <v>0</v>
      </c>
      <c r="I166">
        <f t="shared" si="27"/>
        <v>0</v>
      </c>
      <c r="J166" s="3">
        <v>0</v>
      </c>
      <c r="K166" s="8">
        <f t="shared" si="23"/>
        <v>1129879.1706361715</v>
      </c>
    </row>
    <row r="167" spans="2:11" x14ac:dyDescent="0.3">
      <c r="B167" s="1">
        <v>47300</v>
      </c>
      <c r="C167">
        <v>15.6</v>
      </c>
      <c r="D167">
        <f t="shared" si="19"/>
        <v>15.604999999999999</v>
      </c>
      <c r="E167">
        <f t="shared" ref="E167:E185" si="28">_xlfn.STDEV.P(C157:C177)</f>
        <v>0.17700967855983141</v>
      </c>
      <c r="F167">
        <f t="shared" si="24"/>
        <v>15.357186450016235</v>
      </c>
      <c r="G167">
        <f t="shared" si="25"/>
        <v>15.852813549983763</v>
      </c>
      <c r="H167">
        <f t="shared" si="26"/>
        <v>0</v>
      </c>
      <c r="I167">
        <f t="shared" si="27"/>
        <v>0</v>
      </c>
      <c r="J167" s="3">
        <v>0</v>
      </c>
      <c r="K167" s="8">
        <f t="shared" si="23"/>
        <v>1129879.1706361715</v>
      </c>
    </row>
    <row r="168" spans="2:11" x14ac:dyDescent="0.3">
      <c r="B168" s="1">
        <v>47665</v>
      </c>
      <c r="C168">
        <v>15.52</v>
      </c>
      <c r="D168">
        <f t="shared" si="19"/>
        <v>15.592000000000002</v>
      </c>
      <c r="E168">
        <f t="shared" si="28"/>
        <v>0.20053443334479004</v>
      </c>
      <c r="F168">
        <f t="shared" si="24"/>
        <v>15.311251793317297</v>
      </c>
      <c r="G168">
        <f t="shared" si="25"/>
        <v>15.872748206682708</v>
      </c>
      <c r="H168">
        <f t="shared" si="26"/>
        <v>0</v>
      </c>
      <c r="I168">
        <f t="shared" si="27"/>
        <v>0</v>
      </c>
      <c r="J168" s="3">
        <v>0</v>
      </c>
      <c r="K168" s="8">
        <f t="shared" si="23"/>
        <v>1129879.1706361715</v>
      </c>
    </row>
    <row r="169" spans="2:11" x14ac:dyDescent="0.3">
      <c r="B169" s="1">
        <v>48030</v>
      </c>
      <c r="C169">
        <v>15.74</v>
      </c>
      <c r="D169">
        <f t="shared" ref="D169:D184" si="29">AVERAGE(C159:C178)</f>
        <v>15.577999999999999</v>
      </c>
      <c r="E169">
        <f t="shared" si="28"/>
        <v>0.22434181888511159</v>
      </c>
      <c r="F169">
        <f t="shared" si="24"/>
        <v>15.263921453560844</v>
      </c>
      <c r="G169">
        <f t="shared" si="25"/>
        <v>15.892078546439155</v>
      </c>
      <c r="H169">
        <f t="shared" si="26"/>
        <v>0</v>
      </c>
      <c r="I169">
        <f t="shared" si="27"/>
        <v>0</v>
      </c>
      <c r="J169" s="3">
        <v>0</v>
      </c>
      <c r="K169" s="8">
        <f t="shared" si="23"/>
        <v>1129879.1706361715</v>
      </c>
    </row>
    <row r="170" spans="2:11" x14ac:dyDescent="0.3">
      <c r="B170" s="1">
        <v>37834</v>
      </c>
      <c r="C170">
        <v>15.5</v>
      </c>
      <c r="D170">
        <f t="shared" si="29"/>
        <v>15.562000000000001</v>
      </c>
      <c r="E170">
        <f t="shared" si="28"/>
        <v>0.24992334425686433</v>
      </c>
      <c r="F170">
        <f t="shared" si="24"/>
        <v>15.212107318040392</v>
      </c>
      <c r="G170">
        <f t="shared" si="25"/>
        <v>15.91189268195961</v>
      </c>
      <c r="H170">
        <f t="shared" si="26"/>
        <v>0</v>
      </c>
      <c r="I170">
        <f t="shared" si="27"/>
        <v>0</v>
      </c>
      <c r="J170" s="3">
        <v>0</v>
      </c>
      <c r="K170" s="8">
        <f t="shared" si="23"/>
        <v>1129879.1706361715</v>
      </c>
    </row>
    <row r="171" spans="2:11" x14ac:dyDescent="0.3">
      <c r="B171" s="1">
        <v>38200</v>
      </c>
      <c r="C171">
        <v>15.86</v>
      </c>
      <c r="D171">
        <f t="shared" si="29"/>
        <v>15.541999999999998</v>
      </c>
      <c r="E171">
        <f t="shared" si="28"/>
        <v>0.27406075430851856</v>
      </c>
      <c r="F171">
        <f t="shared" si="24"/>
        <v>15.158314943968072</v>
      </c>
      <c r="G171">
        <f t="shared" si="25"/>
        <v>15.925685056031924</v>
      </c>
      <c r="H171">
        <f t="shared" si="26"/>
        <v>0</v>
      </c>
      <c r="I171">
        <f t="shared" si="27"/>
        <v>0</v>
      </c>
      <c r="J171" s="3">
        <v>0</v>
      </c>
      <c r="K171" s="8">
        <f t="shared" si="23"/>
        <v>1129879.1706361715</v>
      </c>
    </row>
    <row r="172" spans="2:11" x14ac:dyDescent="0.3">
      <c r="B172" s="1">
        <v>38565</v>
      </c>
      <c r="C172">
        <v>15.82</v>
      </c>
      <c r="D172">
        <f t="shared" si="29"/>
        <v>15.521999999999997</v>
      </c>
      <c r="E172">
        <f t="shared" si="28"/>
        <v>0.29460454296343402</v>
      </c>
      <c r="F172">
        <f t="shared" si="24"/>
        <v>15.109553639851189</v>
      </c>
      <c r="G172">
        <f t="shared" si="25"/>
        <v>15.934446360148804</v>
      </c>
      <c r="H172">
        <f t="shared" si="26"/>
        <v>0</v>
      </c>
      <c r="I172">
        <f t="shared" si="27"/>
        <v>0</v>
      </c>
      <c r="J172" s="3">
        <v>0</v>
      </c>
      <c r="K172" s="8">
        <f t="shared" si="23"/>
        <v>1129879.1706361715</v>
      </c>
    </row>
    <row r="173" spans="2:11" x14ac:dyDescent="0.3">
      <c r="B173" s="1">
        <v>38930</v>
      </c>
      <c r="C173">
        <v>15.9</v>
      </c>
      <c r="D173">
        <f t="shared" si="29"/>
        <v>15.498999999999999</v>
      </c>
      <c r="E173">
        <f t="shared" si="28"/>
        <v>0.3116542068883425</v>
      </c>
      <c r="F173">
        <f t="shared" si="24"/>
        <v>15.062684110356319</v>
      </c>
      <c r="G173">
        <f t="shared" si="25"/>
        <v>15.935315889643679</v>
      </c>
      <c r="H173">
        <f t="shared" si="26"/>
        <v>0</v>
      </c>
      <c r="I173">
        <f t="shared" si="27"/>
        <v>0</v>
      </c>
      <c r="J173" s="3">
        <v>0</v>
      </c>
      <c r="K173" s="8">
        <f t="shared" si="23"/>
        <v>1129879.1706361715</v>
      </c>
    </row>
    <row r="174" spans="2:11" x14ac:dyDescent="0.3">
      <c r="B174" s="1">
        <v>39295</v>
      </c>
      <c r="C174">
        <v>15.84</v>
      </c>
      <c r="D174">
        <f t="shared" si="29"/>
        <v>15.465</v>
      </c>
      <c r="E174">
        <f t="shared" si="28"/>
        <v>0.31040022441958365</v>
      </c>
      <c r="F174">
        <f t="shared" si="24"/>
        <v>15.030439685812583</v>
      </c>
      <c r="G174">
        <f t="shared" si="25"/>
        <v>15.899560314187417</v>
      </c>
      <c r="H174">
        <f t="shared" si="26"/>
        <v>0</v>
      </c>
      <c r="I174">
        <f t="shared" si="27"/>
        <v>0</v>
      </c>
      <c r="J174" s="3">
        <v>0</v>
      </c>
      <c r="K174" s="8">
        <f t="shared" si="23"/>
        <v>1129879.1706361715</v>
      </c>
    </row>
    <row r="175" spans="2:11" x14ac:dyDescent="0.3">
      <c r="B175" s="1">
        <v>40391</v>
      </c>
      <c r="C175">
        <v>15.5</v>
      </c>
      <c r="D175">
        <f t="shared" si="29"/>
        <v>15.463000000000003</v>
      </c>
      <c r="E175">
        <f t="shared" si="28"/>
        <v>0.32545798883163263</v>
      </c>
      <c r="F175">
        <f t="shared" si="24"/>
        <v>15.007358815635717</v>
      </c>
      <c r="G175">
        <f t="shared" si="25"/>
        <v>15.918641184364288</v>
      </c>
      <c r="H175">
        <f t="shared" si="26"/>
        <v>0</v>
      </c>
      <c r="I175">
        <f t="shared" si="27"/>
        <v>0</v>
      </c>
      <c r="J175" s="3">
        <v>0</v>
      </c>
      <c r="K175" s="8">
        <f t="shared" si="23"/>
        <v>1129879.1706361715</v>
      </c>
    </row>
    <row r="176" spans="2:11" x14ac:dyDescent="0.3">
      <c r="B176" s="1">
        <v>40756</v>
      </c>
      <c r="C176">
        <v>15.56</v>
      </c>
      <c r="D176">
        <f t="shared" si="29"/>
        <v>15.475000000000003</v>
      </c>
      <c r="E176">
        <f t="shared" si="28"/>
        <v>0.32474654341550352</v>
      </c>
      <c r="F176">
        <f t="shared" si="24"/>
        <v>15.020354839218298</v>
      </c>
      <c r="G176">
        <f t="shared" si="25"/>
        <v>15.929645160781709</v>
      </c>
      <c r="H176">
        <f t="shared" si="26"/>
        <v>0</v>
      </c>
      <c r="I176">
        <f t="shared" si="27"/>
        <v>0</v>
      </c>
      <c r="J176" s="3">
        <v>0</v>
      </c>
      <c r="K176" s="8">
        <f t="shared" si="23"/>
        <v>1129879.1706361715</v>
      </c>
    </row>
    <row r="177" spans="2:11" x14ac:dyDescent="0.3">
      <c r="B177" s="1">
        <v>41122</v>
      </c>
      <c r="C177">
        <v>15.24</v>
      </c>
      <c r="D177">
        <f t="shared" si="29"/>
        <v>15.485000000000005</v>
      </c>
      <c r="E177">
        <f t="shared" si="28"/>
        <v>0.33538146285026377</v>
      </c>
      <c r="F177">
        <f t="shared" si="24"/>
        <v>15.015465952009636</v>
      </c>
      <c r="G177">
        <f t="shared" si="25"/>
        <v>15.954534047990373</v>
      </c>
      <c r="H177">
        <f t="shared" si="26"/>
        <v>0</v>
      </c>
      <c r="I177">
        <f t="shared" si="27"/>
        <v>0</v>
      </c>
      <c r="J177" s="3">
        <v>0</v>
      </c>
      <c r="K177" s="8">
        <f t="shared" si="23"/>
        <v>1129879.1706361715</v>
      </c>
    </row>
    <row r="178" spans="2:11" x14ac:dyDescent="0.3">
      <c r="B178" s="1">
        <v>41487</v>
      </c>
      <c r="C178">
        <v>15.14</v>
      </c>
      <c r="D178">
        <f t="shared" si="29"/>
        <v>15.499000000000004</v>
      </c>
      <c r="E178">
        <f t="shared" si="28"/>
        <v>0.33564909870327003</v>
      </c>
      <c r="F178">
        <f t="shared" si="24"/>
        <v>15.029091261815426</v>
      </c>
      <c r="G178">
        <f t="shared" si="25"/>
        <v>15.968908738184583</v>
      </c>
      <c r="H178">
        <f t="shared" si="26"/>
        <v>0</v>
      </c>
      <c r="I178">
        <f t="shared" si="27"/>
        <v>0</v>
      </c>
      <c r="J178" s="3">
        <v>0</v>
      </c>
      <c r="K178" s="8">
        <f t="shared" si="23"/>
        <v>1129879.1706361715</v>
      </c>
    </row>
    <row r="179" spans="2:11" x14ac:dyDescent="0.3">
      <c r="B179" s="1">
        <v>41852</v>
      </c>
      <c r="C179">
        <v>15.08</v>
      </c>
      <c r="D179">
        <f t="shared" si="29"/>
        <v>15.492000000000004</v>
      </c>
      <c r="E179">
        <f t="shared" si="28"/>
        <v>0.33560045351443291</v>
      </c>
      <c r="F179">
        <f t="shared" si="24"/>
        <v>15.022159365079798</v>
      </c>
      <c r="G179">
        <f t="shared" si="25"/>
        <v>15.961840634920211</v>
      </c>
      <c r="H179">
        <f t="shared" si="26"/>
        <v>0</v>
      </c>
      <c r="I179">
        <f t="shared" si="27"/>
        <v>0</v>
      </c>
      <c r="J179" s="3">
        <v>0</v>
      </c>
      <c r="K179" s="8">
        <f t="shared" si="23"/>
        <v>1129879.1706361715</v>
      </c>
    </row>
    <row r="180" spans="2:11" x14ac:dyDescent="0.3">
      <c r="B180" s="1">
        <v>42948</v>
      </c>
      <c r="C180">
        <v>15.02</v>
      </c>
      <c r="D180">
        <f t="shared" si="29"/>
        <v>15.48</v>
      </c>
      <c r="E180">
        <f t="shared" si="28"/>
        <v>0.33168572399356272</v>
      </c>
      <c r="F180">
        <f t="shared" si="24"/>
        <v>15.015639986409013</v>
      </c>
      <c r="G180">
        <f t="shared" si="25"/>
        <v>15.944360013590988</v>
      </c>
      <c r="H180">
        <f t="shared" si="26"/>
        <v>0</v>
      </c>
      <c r="I180">
        <f t="shared" si="27"/>
        <v>0</v>
      </c>
      <c r="J180" s="3">
        <v>0</v>
      </c>
      <c r="K180" s="8">
        <f t="shared" si="23"/>
        <v>1129879.1706361715</v>
      </c>
    </row>
    <row r="181" spans="2:11" x14ac:dyDescent="0.3">
      <c r="B181" s="1">
        <v>43313</v>
      </c>
      <c r="C181">
        <v>15</v>
      </c>
      <c r="D181">
        <f t="shared" si="29"/>
        <v>15.474</v>
      </c>
      <c r="E181">
        <f t="shared" si="28"/>
        <v>0.33183882654493763</v>
      </c>
      <c r="F181">
        <f t="shared" si="24"/>
        <v>15.009425642837087</v>
      </c>
      <c r="G181">
        <f t="shared" si="25"/>
        <v>15.938574357162913</v>
      </c>
      <c r="H181" s="6">
        <f t="shared" si="26"/>
        <v>1</v>
      </c>
      <c r="I181">
        <f t="shared" si="27"/>
        <v>0</v>
      </c>
      <c r="J181" s="4">
        <f>K148/C181</f>
        <v>75325.278042411432</v>
      </c>
      <c r="K181" s="8">
        <f>K148-J181*C181</f>
        <v>0</v>
      </c>
    </row>
    <row r="182" spans="2:11" x14ac:dyDescent="0.3">
      <c r="B182" s="1">
        <v>43678</v>
      </c>
      <c r="C182">
        <v>15</v>
      </c>
      <c r="D182">
        <f t="shared" si="29"/>
        <v>15.452000000000002</v>
      </c>
      <c r="E182">
        <f t="shared" si="28"/>
        <v>0.32045319382572346</v>
      </c>
      <c r="F182">
        <f t="shared" si="24"/>
        <v>15.00336552864399</v>
      </c>
      <c r="G182">
        <f t="shared" si="25"/>
        <v>15.900634471356014</v>
      </c>
      <c r="H182" s="6">
        <f t="shared" si="26"/>
        <v>1</v>
      </c>
      <c r="I182">
        <f t="shared" si="27"/>
        <v>0</v>
      </c>
      <c r="J182" s="3">
        <f>J181</f>
        <v>75325.278042411432</v>
      </c>
      <c r="K182" s="8">
        <f>K181</f>
        <v>0</v>
      </c>
    </row>
    <row r="183" spans="2:11" x14ac:dyDescent="0.3">
      <c r="B183" s="1">
        <v>44044</v>
      </c>
      <c r="C183">
        <v>15.02</v>
      </c>
      <c r="D183">
        <f t="shared" si="29"/>
        <v>15.430999999999997</v>
      </c>
      <c r="E183">
        <f t="shared" si="28"/>
        <v>0.31081488975209992</v>
      </c>
      <c r="F183">
        <f t="shared" si="24"/>
        <v>14.995859154347057</v>
      </c>
      <c r="G183">
        <f t="shared" si="25"/>
        <v>15.866140845652938</v>
      </c>
      <c r="H183">
        <f t="shared" si="26"/>
        <v>0</v>
      </c>
      <c r="I183">
        <f t="shared" si="27"/>
        <v>0</v>
      </c>
      <c r="J183" s="3">
        <f t="shared" ref="J183:J184" si="30">J182</f>
        <v>75325.278042411432</v>
      </c>
      <c r="K183" s="8">
        <f t="shared" ref="K183:K184" si="31">K182</f>
        <v>0</v>
      </c>
    </row>
    <row r="184" spans="2:11" x14ac:dyDescent="0.3">
      <c r="B184" s="1">
        <v>45505</v>
      </c>
      <c r="C184">
        <v>15.66</v>
      </c>
      <c r="D184">
        <f t="shared" si="29"/>
        <v>15.401</v>
      </c>
      <c r="E184">
        <f t="shared" si="28"/>
        <v>0.29321890161283709</v>
      </c>
      <c r="F184">
        <f t="shared" si="24"/>
        <v>14.990493537742028</v>
      </c>
      <c r="G184">
        <f t="shared" si="25"/>
        <v>15.811506462257972</v>
      </c>
      <c r="H184">
        <f t="shared" si="26"/>
        <v>0</v>
      </c>
      <c r="I184">
        <f t="shared" si="27"/>
        <v>0</v>
      </c>
      <c r="J184" s="3">
        <f t="shared" si="30"/>
        <v>75325.278042411432</v>
      </c>
      <c r="K184" s="8">
        <f t="shared" si="31"/>
        <v>0</v>
      </c>
    </row>
    <row r="185" spans="2:11" x14ac:dyDescent="0.3">
      <c r="B185" s="1">
        <v>45870</v>
      </c>
      <c r="C185">
        <v>15.98</v>
      </c>
      <c r="D185">
        <f>AVERAGE(C175:C195)</f>
        <v>15.369523809523807</v>
      </c>
      <c r="E185">
        <f t="shared" si="28"/>
        <v>0.27627584887427625</v>
      </c>
      <c r="F185">
        <f t="shared" si="24"/>
        <v>14.982737621099821</v>
      </c>
      <c r="G185">
        <f t="shared" si="25"/>
        <v>15.756309997947794</v>
      </c>
      <c r="H185">
        <f t="shared" si="26"/>
        <v>0</v>
      </c>
      <c r="I185" s="5">
        <f t="shared" si="27"/>
        <v>1</v>
      </c>
      <c r="J185" s="3">
        <v>0</v>
      </c>
      <c r="K185" s="9">
        <f>J181*C185</f>
        <v>1203697.9431177347</v>
      </c>
    </row>
    <row r="186" spans="2:11" x14ac:dyDescent="0.3">
      <c r="B186" s="1">
        <v>46235</v>
      </c>
      <c r="C186">
        <v>15.72</v>
      </c>
      <c r="D186">
        <f>AVERAGE(C186:C195, C186, C176:C185)</f>
        <v>15.380000000000004</v>
      </c>
      <c r="E186">
        <f>_xlfn.STDEV.P(C186:C195,C186,C176:C185)</f>
        <v>0.28505638539970118</v>
      </c>
      <c r="F186">
        <f t="shared" si="24"/>
        <v>14.980921060440423</v>
      </c>
      <c r="G186">
        <f t="shared" si="25"/>
        <v>15.779078939559586</v>
      </c>
      <c r="H186">
        <f t="shared" si="26"/>
        <v>0</v>
      </c>
      <c r="I186">
        <f t="shared" si="27"/>
        <v>0</v>
      </c>
      <c r="J186" s="3">
        <v>0</v>
      </c>
      <c r="K186" s="8">
        <f>K185</f>
        <v>1203697.9431177347</v>
      </c>
    </row>
    <row r="187" spans="2:11" x14ac:dyDescent="0.3">
      <c r="B187" s="1">
        <v>46600</v>
      </c>
      <c r="C187">
        <v>15.88</v>
      </c>
      <c r="D187">
        <f>AVERAGE(C187,C187,C187,C188:C195,C177:C186)</f>
        <v>15.402857142857147</v>
      </c>
      <c r="E187">
        <f>_xlfn.STDEV.P(C188:C195,C187,C187,C187,C177:C186)</f>
        <v>0.31224445333657402</v>
      </c>
      <c r="F187">
        <f t="shared" ref="F187:F218" si="32">D187-($D$203*E187)</f>
        <v>14.965714908185944</v>
      </c>
      <c r="G187">
        <f t="shared" ref="G187:G195" si="33">D187+($D$203*E187)</f>
        <v>15.839999377528351</v>
      </c>
      <c r="H187">
        <f t="shared" si="26"/>
        <v>0</v>
      </c>
      <c r="I187" s="5">
        <f t="shared" si="27"/>
        <v>1</v>
      </c>
      <c r="J187" s="3">
        <v>0</v>
      </c>
      <c r="K187" s="8">
        <f t="shared" ref="K187:K195" si="34">K186</f>
        <v>1203697.9431177347</v>
      </c>
    </row>
    <row r="188" spans="2:11" x14ac:dyDescent="0.3">
      <c r="B188" s="1">
        <v>46966</v>
      </c>
      <c r="C188">
        <v>15.38</v>
      </c>
      <c r="D188">
        <f>AVERAGE(C188,C188,C188,C188,C189:C195,C178:C187)</f>
        <v>15.361904761904766</v>
      </c>
      <c r="E188">
        <f>_xlfn.STDEV.P(C189:C195,C188,C188,C188,C188,C178:C187)</f>
        <v>0.27009026793734575</v>
      </c>
      <c r="F188">
        <f t="shared" si="32"/>
        <v>14.983778386792482</v>
      </c>
      <c r="G188">
        <f t="shared" si="33"/>
        <v>15.74003113701705</v>
      </c>
      <c r="H188">
        <f t="shared" si="26"/>
        <v>0</v>
      </c>
      <c r="I188">
        <f t="shared" si="27"/>
        <v>0</v>
      </c>
      <c r="J188" s="3">
        <v>0</v>
      </c>
      <c r="K188" s="8">
        <f t="shared" si="34"/>
        <v>1203697.9431177347</v>
      </c>
    </row>
    <row r="189" spans="2:11" x14ac:dyDescent="0.3">
      <c r="B189" s="1">
        <v>37135</v>
      </c>
      <c r="C189">
        <v>15.5</v>
      </c>
      <c r="D189">
        <f>AVERAGE(C189,C189,C189,C189,C189,C190:C195,C179:C188)</f>
        <v>15.396190476190482</v>
      </c>
      <c r="E189">
        <f>_xlfn.STDEV.P(C190:C195,C189,C189,C189,C189,C189,C179:C188)</f>
        <v>0.27021113773661548</v>
      </c>
      <c r="F189">
        <f t="shared" si="32"/>
        <v>15.017894883359221</v>
      </c>
      <c r="G189">
        <f t="shared" si="33"/>
        <v>15.774486069021743</v>
      </c>
      <c r="H189">
        <f t="shared" si="26"/>
        <v>0</v>
      </c>
      <c r="I189">
        <f t="shared" si="27"/>
        <v>0</v>
      </c>
      <c r="J189" s="3">
        <v>0</v>
      </c>
      <c r="K189" s="8">
        <f t="shared" si="34"/>
        <v>1203697.9431177347</v>
      </c>
    </row>
    <row r="190" spans="2:11" x14ac:dyDescent="0.3">
      <c r="B190" s="1">
        <v>37500</v>
      </c>
      <c r="C190">
        <v>15.38</v>
      </c>
      <c r="D190">
        <f>AVERAGE(C190,C190,C190,C190,C190,C190,C191:C195,C180:C189)</f>
        <v>15.387619047619049</v>
      </c>
      <c r="E190">
        <f>_xlfn.STDEV.P(C191:C195,C190,C190,C190,C190,C190,C190,C180:C189)</f>
        <v>0.25727333550330833</v>
      </c>
      <c r="F190">
        <f t="shared" si="32"/>
        <v>15.027436377914418</v>
      </c>
      <c r="G190">
        <f t="shared" si="33"/>
        <v>15.74780171732368</v>
      </c>
      <c r="H190">
        <f t="shared" si="26"/>
        <v>0</v>
      </c>
      <c r="I190">
        <f t="shared" si="27"/>
        <v>0</v>
      </c>
      <c r="J190" s="3">
        <v>0</v>
      </c>
      <c r="K190" s="8">
        <f t="shared" si="34"/>
        <v>1203697.9431177347</v>
      </c>
    </row>
    <row r="191" spans="2:11" x14ac:dyDescent="0.3">
      <c r="B191" s="1">
        <v>37865</v>
      </c>
      <c r="C191">
        <v>15.42</v>
      </c>
      <c r="D191">
        <f>AVERAGE(C191,C191,C191,C191,C191,C191,C191,C192:C195,C181:C190)</f>
        <v>15.416190476190476</v>
      </c>
      <c r="E191">
        <f>_xlfn.STDEV.P(C192:C195,C191,C191,C191,C191,C191,C191,C191,C181:C190)</f>
        <v>0.24335895867306795</v>
      </c>
      <c r="F191">
        <f t="shared" si="32"/>
        <v>15.07548793404818</v>
      </c>
      <c r="G191">
        <f t="shared" si="33"/>
        <v>15.756893018332772</v>
      </c>
      <c r="H191">
        <f t="shared" si="26"/>
        <v>0</v>
      </c>
      <c r="I191">
        <f t="shared" si="27"/>
        <v>0</v>
      </c>
      <c r="J191" s="3">
        <v>0</v>
      </c>
      <c r="K191" s="8">
        <f t="shared" si="34"/>
        <v>1203697.9431177347</v>
      </c>
    </row>
    <row r="192" spans="2:11" x14ac:dyDescent="0.3">
      <c r="B192" s="1">
        <v>38231</v>
      </c>
      <c r="C192">
        <v>15.4</v>
      </c>
      <c r="D192">
        <f>AVERAGE(C192,C192,C192,C192,C192,C192,C192,C192,C193:C195,C182:C191)</f>
        <v>15.429523809523811</v>
      </c>
      <c r="E192">
        <f>_xlfn.STDEV.P(C193:C195,C192,C192,C192,C192,C192,C192,C192,C192,C182:C191)</f>
        <v>0.22556756332323766</v>
      </c>
      <c r="F192">
        <f t="shared" si="32"/>
        <v>15.113729220871278</v>
      </c>
      <c r="G192">
        <f t="shared" si="33"/>
        <v>15.745318398176344</v>
      </c>
      <c r="H192">
        <f t="shared" si="26"/>
        <v>0</v>
      </c>
      <c r="I192">
        <f t="shared" si="27"/>
        <v>0</v>
      </c>
      <c r="J192" s="3">
        <v>0</v>
      </c>
      <c r="K192" s="8">
        <f t="shared" si="34"/>
        <v>1203697.9431177347</v>
      </c>
    </row>
    <row r="193" spans="2:11" x14ac:dyDescent="0.3">
      <c r="B193" s="1">
        <v>39326</v>
      </c>
      <c r="C193">
        <v>15.3</v>
      </c>
      <c r="D193">
        <f>AVERAGE(C193,C193,C193,C193,C193,C193,C193,C193,C193,C194:C195,C183:C192)</f>
        <v>15.41047619047619</v>
      </c>
      <c r="E193">
        <f>_xlfn.STDEV.P(C194:C195,C193,C193,C193,C193,C193,C193,C193,C193,C193,C183:C192)</f>
        <v>0.21870781096239736</v>
      </c>
      <c r="F193">
        <f t="shared" si="32"/>
        <v>15.104285255128834</v>
      </c>
      <c r="G193">
        <f t="shared" si="33"/>
        <v>15.716667125823546</v>
      </c>
      <c r="H193">
        <f t="shared" si="26"/>
        <v>0</v>
      </c>
      <c r="I193">
        <f t="shared" si="27"/>
        <v>0</v>
      </c>
      <c r="J193" s="3">
        <v>0</v>
      </c>
      <c r="K193" s="8">
        <f t="shared" si="34"/>
        <v>1203697.9431177347</v>
      </c>
    </row>
    <row r="194" spans="2:11" x14ac:dyDescent="0.3">
      <c r="B194" s="1">
        <v>39692</v>
      </c>
      <c r="C194">
        <v>15.28</v>
      </c>
      <c r="D194">
        <f>AVERAGE(C194,C194,C194,C194,C194,C194,C194,C194,C194,C194,C195,C184:C193)</f>
        <v>15.415238095238093</v>
      </c>
      <c r="E194">
        <f>_xlfn.STDEV.P(C195,C194,C194,C194,C194,C194,C194,C194,C194,C194,C194,C184:C193)</f>
        <v>0.20783736882978074</v>
      </c>
      <c r="F194">
        <f t="shared" si="32"/>
        <v>15.124265778876401</v>
      </c>
      <c r="G194">
        <f t="shared" si="33"/>
        <v>15.706210411599786</v>
      </c>
      <c r="H194">
        <f t="shared" si="26"/>
        <v>0</v>
      </c>
      <c r="I194">
        <f t="shared" si="27"/>
        <v>0</v>
      </c>
      <c r="J194" s="3">
        <v>0</v>
      </c>
      <c r="K194" s="8">
        <f t="shared" si="34"/>
        <v>1203697.9431177347</v>
      </c>
    </row>
    <row r="195" spans="2:11" x14ac:dyDescent="0.3">
      <c r="B195" s="1">
        <v>40057</v>
      </c>
      <c r="C195">
        <v>15.3</v>
      </c>
      <c r="D195">
        <f>AVERAGE(C195,C195,C195,C195,C195,C195,C195,C195,C195,C195,C195,C185:C194)</f>
        <v>15.406666666666665</v>
      </c>
      <c r="E195">
        <f>_xlfn.STDEV.P(C195,C195,C195,C195,C195,C195,C195,C195,C195,C195,C195,C185:C194)</f>
        <v>0.19686430746977868</v>
      </c>
      <c r="F195">
        <f t="shared" si="32"/>
        <v>15.131056636208974</v>
      </c>
      <c r="G195">
        <f t="shared" si="33"/>
        <v>15.682276697124355</v>
      </c>
      <c r="H195">
        <f t="shared" si="26"/>
        <v>0</v>
      </c>
      <c r="I195">
        <f t="shared" si="27"/>
        <v>0</v>
      </c>
      <c r="J195" s="3">
        <v>0</v>
      </c>
      <c r="K195" s="8">
        <f t="shared" si="34"/>
        <v>1203697.9431177347</v>
      </c>
    </row>
    <row r="196" spans="2:11" x14ac:dyDescent="0.3">
      <c r="B196" s="1">
        <v>40422</v>
      </c>
      <c r="C196">
        <v>15.22</v>
      </c>
    </row>
    <row r="197" spans="2:11" x14ac:dyDescent="0.3">
      <c r="B197" s="1">
        <v>40787</v>
      </c>
      <c r="C197">
        <v>15.16</v>
      </c>
      <c r="J197" s="2" t="s">
        <v>11</v>
      </c>
      <c r="K197" s="8">
        <f>J181*C185</f>
        <v>1203697.9431177347</v>
      </c>
    </row>
    <row r="198" spans="2:11" x14ac:dyDescent="0.3">
      <c r="B198" s="1">
        <v>41883</v>
      </c>
      <c r="C198">
        <v>15.12</v>
      </c>
      <c r="J198" s="2" t="s">
        <v>12</v>
      </c>
      <c r="K198" s="8">
        <f>K197-1000000</f>
        <v>203697.94311773474</v>
      </c>
    </row>
    <row r="199" spans="2:11" x14ac:dyDescent="0.3">
      <c r="B199" s="1">
        <v>42248</v>
      </c>
      <c r="C199">
        <v>15.24</v>
      </c>
      <c r="J199" s="2" t="s">
        <v>13</v>
      </c>
      <c r="K199" s="7">
        <f>K198/1000000</f>
        <v>0.20369794311773473</v>
      </c>
    </row>
    <row r="200" spans="2:11" x14ac:dyDescent="0.3">
      <c r="J200" s="2" t="s">
        <v>14</v>
      </c>
      <c r="K200" s="7">
        <f>K199 * 365/251</f>
        <v>0.29621414039033134</v>
      </c>
    </row>
    <row r="202" spans="2:11" x14ac:dyDescent="0.3">
      <c r="C202" t="s">
        <v>6</v>
      </c>
      <c r="D202">
        <v>21</v>
      </c>
    </row>
    <row r="203" spans="2:11" x14ac:dyDescent="0.3">
      <c r="C203" t="s">
        <v>7</v>
      </c>
      <c r="D203">
        <v>1.4</v>
      </c>
    </row>
  </sheetData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Jerick Garcia</dc:creator>
  <cp:lastModifiedBy>Jerick Garcia</cp:lastModifiedBy>
  <dcterms:created xsi:type="dcterms:W3CDTF">2026-09-10T03:00:52Z</dcterms:created>
  <dcterms:modified xsi:type="dcterms:W3CDTF">2026-09-22T02:37:17Z</dcterms:modified>
</cp:coreProperties>
</file>